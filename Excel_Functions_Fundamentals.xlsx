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ducts" sheetId="2" state="visible" r:id="rId4"/>
    <sheet name="Data" sheetId="3" state="visible" r:id="rId5"/>
    <sheet name="Lookups" sheetId="4" state="visible" r:id="rId6"/>
    <sheet name="Logic_IF" sheetId="5" state="visible" r:id="rId7"/>
    <sheet name="Conditional_Agg" sheetId="6" state="visible" r:id="rId8"/>
    <sheet name="Text_Functions" sheetId="7" state="visible" r:id="rId9"/>
    <sheet name="Edge_Cases" sheetId="8" state="visible" r:id="rId10"/>
    <sheet name="Formula_Notes" sheetId="9" state="visible" r:id="rId11"/>
  </sheets>
  <definedNames>
    <definedName function="false" hidden="false" name="Category" vbProcedure="false">Data!$E$2:$E$61</definedName>
    <definedName function="false" hidden="false" name="Customer" vbProcedure="false">Data!$C$2:$C$61</definedName>
    <definedName function="false" hidden="false" name="OrderDate" vbProcedure="false">Data!$B$2:$B$61</definedName>
    <definedName function="false" hidden="false" name="ProdID" vbProcedure="false">Products!$A$2:$A$11</definedName>
    <definedName function="false" hidden="false" name="ProdTable" vbProcedure="false">Products!$A$2:$D$11</definedName>
    <definedName function="false" hidden="false" name="Qty" vbProcedure="false">Data!$G$2:$G$61</definedName>
    <definedName function="false" hidden="false" name="Region" vbProcedure="false">Data!$D$2:$D$61</definedName>
    <definedName function="false" hidden="false" name="Sales" vbProcedure="false">Data!$J$2:$J$61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<sst xmlns="http://schemas.openxmlformats.org/spreadsheetml/2006/main" count="576" uniqueCount="326">
  <si>
    <t xml:space="preserve">Task 6 – Excel &amp; Functions Fundamentals</t>
  </si>
  <si>
    <t xml:space="preserve">Intern</t>
  </si>
  <si>
    <t xml:space="preserve">Rathod Harshvardhansinh J</t>
  </si>
  <si>
    <t xml:space="preserve">Track</t>
  </si>
  <si>
    <t xml:space="preserve">Data Analytics – Veda Technology Internship</t>
  </si>
  <si>
    <t xml:space="preserve">Dataset</t>
  </si>
  <si>
    <t xml:space="preserve">Synthetic Superstore-style transactional data (60 orders) – built for practice</t>
  </si>
  <si>
    <t xml:space="preserve">Tools</t>
  </si>
  <si>
    <t xml:space="preserve">Microsoft Excel / Google Sheets</t>
  </si>
  <si>
    <t xml:space="preserve">Sheet</t>
  </si>
  <si>
    <t xml:space="preserve">What it shows</t>
  </si>
  <si>
    <t xml:space="preserve">Data</t>
  </si>
  <si>
    <t xml:space="preserve">60 transactions: Order ID, Date, Customer, Region, Category, Product ID, Qty, Unit Price, Discount %, Sales</t>
  </si>
  <si>
    <t xml:space="preserve">Products</t>
  </si>
  <si>
    <t xml:space="preserve">Lookup table (Product ID → name, category, cost)</t>
  </si>
  <si>
    <t xml:space="preserve">Lookups</t>
  </si>
  <si>
    <t xml:space="preserve">VLOOKUP, INDEX/MATCH, XLOOKUP (documented) incl. exact vs approximate match and error handling</t>
  </si>
  <si>
    <t xml:space="preserve">Logic_IF</t>
  </si>
  <si>
    <t xml:space="preserve">IF, nested IF, IF + AND/OR, IFERROR</t>
  </si>
  <si>
    <t xml:space="preserve">Conditional_Agg</t>
  </si>
  <si>
    <t xml:space="preserve">SUMIF, SUMIFS, COUNTIF, COUNTIFS, AVERAGEIFS with named ranges</t>
  </si>
  <si>
    <t xml:space="preserve">Text_Functions</t>
  </si>
  <si>
    <t xml:space="preserve">LEFT, RIGHT, MID, LEN, TRIM, UPPER/LOWER/PROPER, CONCATENATE/&amp;, SUBSTITUTE, FIND</t>
  </si>
  <si>
    <t xml:space="preserve">Edge_Cases</t>
  </si>
  <si>
    <t xml:space="preserve">Blank cells, text-vs-number mismatches, trailing spaces, missing lookups</t>
  </si>
  <si>
    <t xml:space="preserve">Formula_Notes</t>
  </si>
  <si>
    <t xml:space="preserve">When to use each formula, plus the 3 interview questions answered</t>
  </si>
  <si>
    <t xml:space="preserve">Colour legend:</t>
  </si>
  <si>
    <t xml:space="preserve">Blue text = typed input / sample data · Black = formula · Yellow fill = lookup keys you can change</t>
  </si>
  <si>
    <t xml:space="preserve">Note:</t>
  </si>
  <si>
    <t xml:space="preserve">Data is synthetic (generated for learning); no real customer data. Change yellow cells to test formulas.</t>
  </si>
  <si>
    <t xml:space="preserve">Product ID</t>
  </si>
  <si>
    <t xml:space="preserve">Product Name</t>
  </si>
  <si>
    <t xml:space="preserve">Category</t>
  </si>
  <si>
    <t xml:space="preserve">Unit Cost</t>
  </si>
  <si>
    <t xml:space="preserve">P101</t>
  </si>
  <si>
    <t xml:space="preserve">Office Chair</t>
  </si>
  <si>
    <t xml:space="preserve">Furniture</t>
  </si>
  <si>
    <t xml:space="preserve">P102</t>
  </si>
  <si>
    <t xml:space="preserve">Standing Desk</t>
  </si>
  <si>
    <t xml:space="preserve">P103</t>
  </si>
  <si>
    <t xml:space="preserve">Bookcase</t>
  </si>
  <si>
    <t xml:space="preserve">P201</t>
  </si>
  <si>
    <t xml:space="preserve">Laptop Stand</t>
  </si>
  <si>
    <t xml:space="preserve">Technology</t>
  </si>
  <si>
    <t xml:space="preserve">P202</t>
  </si>
  <si>
    <t xml:space="preserve">Wireless Mouse</t>
  </si>
  <si>
    <t xml:space="preserve">P203</t>
  </si>
  <si>
    <t xml:space="preserve">Mechanical Keyboard</t>
  </si>
  <si>
    <t xml:space="preserve">P204</t>
  </si>
  <si>
    <t xml:space="preserve">USB-C Hub</t>
  </si>
  <si>
    <t xml:space="preserve">P301</t>
  </si>
  <si>
    <t xml:space="preserve">Notebook Pack</t>
  </si>
  <si>
    <t xml:space="preserve">Office Supplies</t>
  </si>
  <si>
    <t xml:space="preserve">P302</t>
  </si>
  <si>
    <t xml:space="preserve">Gel Pens (12)</t>
  </si>
  <si>
    <t xml:space="preserve">P303</t>
  </si>
  <si>
    <t xml:space="preserve">Desk Organizer</t>
  </si>
  <si>
    <t xml:space="preserve">Source: sample values created by the intern for practice.</t>
  </si>
  <si>
    <t xml:space="preserve">Order ID</t>
  </si>
  <si>
    <t xml:space="preserve">Order Date</t>
  </si>
  <si>
    <t xml:space="preserve">Customer</t>
  </si>
  <si>
    <t xml:space="preserve">Region</t>
  </si>
  <si>
    <t xml:space="preserve">Qty</t>
  </si>
  <si>
    <t xml:space="preserve">Unit Price</t>
  </si>
  <si>
    <t xml:space="preserve">Discount %</t>
  </si>
  <si>
    <t xml:space="preserve">Sales</t>
  </si>
  <si>
    <t xml:space="preserve">Sales = Qty × Unit Price × (1 − Discount %)</t>
  </si>
  <si>
    <t xml:space="preserve">ORD-1001</t>
  </si>
  <si>
    <t xml:space="preserve">Isha Desai</t>
  </si>
  <si>
    <t xml:space="preserve">East</t>
  </si>
  <si>
    <t xml:space="preserve">Synthetic data generated for practice.</t>
  </si>
  <si>
    <t xml:space="preserve">ORD-1002</t>
  </si>
  <si>
    <t xml:space="preserve">Kabir Joshi</t>
  </si>
  <si>
    <t xml:space="preserve">West</t>
  </si>
  <si>
    <t xml:space="preserve">ORD-1003</t>
  </si>
  <si>
    <t xml:space="preserve">Vivek Rao</t>
  </si>
  <si>
    <t xml:space="preserve">South</t>
  </si>
  <si>
    <t xml:space="preserve">ORD-1004</t>
  </si>
  <si>
    <t xml:space="preserve">ORD-1005</t>
  </si>
  <si>
    <t xml:space="preserve">Neha Trivedi</t>
  </si>
  <si>
    <t xml:space="preserve">ORD-1006</t>
  </si>
  <si>
    <t xml:space="preserve">Aarav Shah</t>
  </si>
  <si>
    <t xml:space="preserve">ORD-1007</t>
  </si>
  <si>
    <t xml:space="preserve">ORD-1008</t>
  </si>
  <si>
    <t xml:space="preserve">Meera Patel</t>
  </si>
  <si>
    <t xml:space="preserve">ORD-1009</t>
  </si>
  <si>
    <t xml:space="preserve">Anaya Singh</t>
  </si>
  <si>
    <t xml:space="preserve">North</t>
  </si>
  <si>
    <t xml:space="preserve">ORD-1010</t>
  </si>
  <si>
    <t xml:space="preserve">ORD-1011</t>
  </si>
  <si>
    <t xml:space="preserve">ORD-1012</t>
  </si>
  <si>
    <t xml:space="preserve">Rohan Mehta</t>
  </si>
  <si>
    <t xml:space="preserve">ORD-1013</t>
  </si>
  <si>
    <t xml:space="preserve">ORD-1014</t>
  </si>
  <si>
    <t xml:space="preserve">ORD-1015</t>
  </si>
  <si>
    <t xml:space="preserve">ORD-1016</t>
  </si>
  <si>
    <t xml:space="preserve">ORD-1017</t>
  </si>
  <si>
    <t xml:space="preserve">ORD-1018</t>
  </si>
  <si>
    <t xml:space="preserve">ORD-1019</t>
  </si>
  <si>
    <t xml:space="preserve">ORD-1020</t>
  </si>
  <si>
    <t xml:space="preserve">ORD-1021</t>
  </si>
  <si>
    <t xml:space="preserve">ORD-1022</t>
  </si>
  <si>
    <t xml:space="preserve">ORD-1023</t>
  </si>
  <si>
    <t xml:space="preserve">ORD-1024</t>
  </si>
  <si>
    <t xml:space="preserve">ORD-1025</t>
  </si>
  <si>
    <t xml:space="preserve">ORD-1026</t>
  </si>
  <si>
    <t xml:space="preserve">ORD-1027</t>
  </si>
  <si>
    <t xml:space="preserve">ORD-1028</t>
  </si>
  <si>
    <t xml:space="preserve">ORD-1029</t>
  </si>
  <si>
    <t xml:space="preserve">ORD-1030</t>
  </si>
  <si>
    <t xml:space="preserve">ORD-1031</t>
  </si>
  <si>
    <t xml:space="preserve">ORD-1032</t>
  </si>
  <si>
    <t xml:space="preserve">ORD-1033</t>
  </si>
  <si>
    <t xml:space="preserve">ORD-1034</t>
  </si>
  <si>
    <t xml:space="preserve">ORD-1035</t>
  </si>
  <si>
    <t xml:space="preserve">ORD-1036</t>
  </si>
  <si>
    <t xml:space="preserve">ORD-1037</t>
  </si>
  <si>
    <t xml:space="preserve">ORD-1038</t>
  </si>
  <si>
    <t xml:space="preserve">ORD-1039</t>
  </si>
  <si>
    <t xml:space="preserve">ORD-1040</t>
  </si>
  <si>
    <t xml:space="preserve">ORD-1041</t>
  </si>
  <si>
    <t xml:space="preserve">ORD-1042</t>
  </si>
  <si>
    <t xml:space="preserve">ORD-1043</t>
  </si>
  <si>
    <t xml:space="preserve">ORD-1044</t>
  </si>
  <si>
    <t xml:space="preserve">ORD-1045</t>
  </si>
  <si>
    <t xml:space="preserve">ORD-1046</t>
  </si>
  <si>
    <t xml:space="preserve">ORD-1047</t>
  </si>
  <si>
    <t xml:space="preserve">ORD-1048</t>
  </si>
  <si>
    <t xml:space="preserve">ORD-1049</t>
  </si>
  <si>
    <t xml:space="preserve">ORD-1050</t>
  </si>
  <si>
    <t xml:space="preserve">ORD-1051</t>
  </si>
  <si>
    <t xml:space="preserve">ORD-1052</t>
  </si>
  <si>
    <t xml:space="preserve">ORD-1053</t>
  </si>
  <si>
    <t xml:space="preserve">ORD-1054</t>
  </si>
  <si>
    <t xml:space="preserve">ORD-1055</t>
  </si>
  <si>
    <t xml:space="preserve">ORD-1056</t>
  </si>
  <si>
    <t xml:space="preserve">ORD-1057</t>
  </si>
  <si>
    <t xml:space="preserve">ORD-1058</t>
  </si>
  <si>
    <t xml:space="preserve">ORD-1059</t>
  </si>
  <si>
    <t xml:space="preserve">ORD-1060</t>
  </si>
  <si>
    <t xml:space="preserve">Lookup Functions</t>
  </si>
  <si>
    <t xml:space="preserve">Enter a Product ID (yellow):</t>
  </si>
  <si>
    <t xml:space="preserve">Technique</t>
  </si>
  <si>
    <t xml:space="preserve">Formula (shown as text)</t>
  </si>
  <si>
    <t xml:space="preserve">Result</t>
  </si>
  <si>
    <t xml:space="preserve">VLOOKUP – product name (exact)</t>
  </si>
  <si>
    <t xml:space="preserve">=VLOOKUP(B3,ProdTable,2,FALSE)</t>
  </si>
  <si>
    <t xml:space="preserve">VLOOKUP – category (exact)</t>
  </si>
  <si>
    <t xml:space="preserve">=VLOOKUP(B3,ProdTable,3,FALSE)</t>
  </si>
  <si>
    <t xml:space="preserve">VLOOKUP – unit cost (exact)</t>
  </si>
  <si>
    <t xml:space="preserve">=VLOOKUP(B3,ProdTable,4,FALSE)</t>
  </si>
  <si>
    <t xml:space="preserve">INDEX/MATCH – product name</t>
  </si>
  <si>
    <t xml:space="preserve">=INDEX(Products!$B$2:$B$11,MATCH(B3,ProdID,0))</t>
  </si>
  <si>
    <t xml:space="preserve">INDEX/MATCH – look LEFT (cost → ID)</t>
  </si>
  <si>
    <t xml:space="preserve">=INDEX(Products!$A$2:$A$11,MATCH(9,Products!$D$2:$D$11,0))</t>
  </si>
  <si>
    <t xml:space="preserve">XLOOKUP (Excel 365 / Sheets) – name</t>
  </si>
  <si>
    <t xml:space="preserve">=XLOOKUP(B3,Products!A2:A11,Products!B2:B11,"Not found")</t>
  </si>
  <si>
    <t xml:space="preserve">Excel 365 only – equivalent live result is the INDEX/MATCH row above</t>
  </si>
  <si>
    <t xml:space="preserve">VLOOKUP wrapped in IFERROR (missing ID)</t>
  </si>
  <si>
    <t xml:space="preserve">=IFERROR(VLOOKUP("P999",ProdTable,2,FALSE),"Not found")</t>
  </si>
  <si>
    <t xml:space="preserve">Approximate-match demo: discount tier by order value</t>
  </si>
  <si>
    <t xml:space="preserve">Order value ≥</t>
  </si>
  <si>
    <t xml:space="preserve">Tier</t>
  </si>
  <si>
    <t xml:space="preserve">Bronze</t>
  </si>
  <si>
    <t xml:space="preserve">Silver</t>
  </si>
  <si>
    <t xml:space="preserve">Gold</t>
  </si>
  <si>
    <t xml:space="preserve">Platinum</t>
  </si>
  <si>
    <t xml:space="preserve">Order value (yellow):</t>
  </si>
  <si>
    <t xml:space="preserve">Tier (VLOOKUP, approximate = TRUE)</t>
  </si>
  <si>
    <t xml:space="preserve">Approximate match needs the first column sorted ascending.</t>
  </si>
  <si>
    <t xml:space="preserve">Logic Functions on the Data sheet (first 15 orders)</t>
  </si>
  <si>
    <t xml:space="preserve">IF: High / Normal (&gt;=1000)</t>
  </si>
  <si>
    <t xml:space="preserve">Nested IF: size band</t>
  </si>
  <si>
    <t xml:space="preserve">IF+AND: West &amp; &gt;=800</t>
  </si>
  <si>
    <t xml:space="preserve">IF+OR: Furniture or North</t>
  </si>
  <si>
    <t xml:space="preserve">IFERROR: Cost lookup</t>
  </si>
  <si>
    <t xml:space="preserve">Profit (Sales − Qty×Cost)</t>
  </si>
  <si>
    <t xml:space="preserve">Tip: build lookups first, then wrap them in IFERROR, then add IF logic – this keeps nested IFs short.</t>
  </si>
  <si>
    <t xml:space="preserve">SUMIF / SUMIFS / COUNTIF / COUNTIFS / AVERAGEIFS (named ranges)</t>
  </si>
  <si>
    <t xml:space="preserve">Region:</t>
  </si>
  <si>
    <t xml:space="preserve">Category:</t>
  </si>
  <si>
    <t xml:space="preserve">Min Qty:</t>
  </si>
  <si>
    <t xml:space="preserve">Question</t>
  </si>
  <si>
    <t xml:space="preserve">Formula (text)</t>
  </si>
  <si>
    <t xml:space="preserve">Total sales in selected region (SUMIF)</t>
  </si>
  <si>
    <t xml:space="preserve">=SUMIF(Region,B3,Sales)</t>
  </si>
  <si>
    <t xml:space="preserve">Total sales: region AND category (SUMIFS)</t>
  </si>
  <si>
    <t xml:space="preserve">=SUMIFS(Sales,Region,B3,Category,B4)</t>
  </si>
  <si>
    <t xml:space="preserve">Total sales: region, category, Qty ≥ min (SUMIFS)</t>
  </si>
  <si>
    <t xml:space="preserve">=SUMIFS(Sales,Region,B3,Category,B4,Qty,"&gt;="&amp;B5)</t>
  </si>
  <si>
    <t xml:space="preserve">Number of orders in region (COUNTIF)</t>
  </si>
  <si>
    <t xml:space="preserve">=COUNTIF(Region,B3)</t>
  </si>
  <si>
    <t xml:space="preserve">Number of orders: region AND category (COUNTIFS)</t>
  </si>
  <si>
    <t xml:space="preserve">=COUNTIFS(Region,B3,Category,B4)</t>
  </si>
  <si>
    <t xml:space="preserve">Average sale: region AND category (AVERAGEIFS)</t>
  </si>
  <si>
    <t xml:space="preserve">=IFERROR(AVERAGEIFS(Sales,Region,B3,Category,B4),0)</t>
  </si>
  <si>
    <t xml:space="preserve">Orders with Qty above 8 (COUNTIF with operator)</t>
  </si>
  <si>
    <t xml:space="preserve">=COUNTIF(Qty,"&gt;8")</t>
  </si>
  <si>
    <t xml:space="preserve">Sales in Jul-2026 (SUMIFS with dates)</t>
  </si>
  <si>
    <t xml:space="preserve">=SUMIFS(Sales,OrderDate,"&gt;="&amp;DATE(2026,7,1),OrderDate,"&lt;"&amp;DATE(2026,8,1))</t>
  </si>
  <si>
    <t xml:space="preserve">Orders from names starting with 'A' (wildcard)</t>
  </si>
  <si>
    <t xml:space="preserve">=COUNTIF(Customer,"A*")</t>
  </si>
  <si>
    <t xml:space="preserve">Total sales (SUM, for reconciliation)</t>
  </si>
  <si>
    <t xml:space="preserve">=SUM(Sales)</t>
  </si>
  <si>
    <t xml:space="preserve">Regional summary (SUMIFS + COUNTIFS)</t>
  </si>
  <si>
    <t xml:space="preserve">Total Sales</t>
  </si>
  <si>
    <t xml:space="preserve">Orders</t>
  </si>
  <si>
    <t xml:space="preserve">Avg Order</t>
  </si>
  <si>
    <t xml:space="preserve">Total</t>
  </si>
  <si>
    <t xml:space="preserve">Check: regional total equals SUM(Sales) →</t>
  </si>
  <si>
    <t xml:space="preserve">Text Functions (messy data cleaning)</t>
  </si>
  <si>
    <t xml:space="preserve">Raw text (typed)</t>
  </si>
  <si>
    <t xml:space="preserve">LEN</t>
  </si>
  <si>
    <t xml:space="preserve">TRIM</t>
  </si>
  <si>
    <t xml:space="preserve">UPPER</t>
  </si>
  <si>
    <t xml:space="preserve">LOWER</t>
  </si>
  <si>
    <t xml:space="preserve">PROPER</t>
  </si>
  <si>
    <t xml:space="preserve">LEFT 3</t>
  </si>
  <si>
    <t xml:space="preserve">RIGHT 4</t>
  </si>
  <si>
    <t xml:space="preserve">MID(5,3)</t>
  </si>
  <si>
    <t xml:space="preserve">SUBSTITUTE '-'→'/'</t>
  </si>
  <si>
    <t xml:space="preserve">FIND '-'</t>
  </si>
  <si>
    <t xml:space="preserve">Cleaned ID = TRIM+UPPER</t>
  </si>
  <si>
    <t xml:space="preserve">Customer &amp; Region (&amp;)</t>
  </si>
  <si>
    <t xml:space="preserve">  ord-1001 </t>
  </si>
  <si>
    <t xml:space="preserve">ord-1003  </t>
  </si>
  <si>
    <t xml:space="preserve">  Ord-1004</t>
  </si>
  <si>
    <t xml:space="preserve">ord-1005</t>
  </si>
  <si>
    <t xml:space="preserve">Why TRIM first? Hidden leading/trailing spaces make 'ORD-1001 ' ≠ 'ORD-1001', so lookups fail. Clean, then look up.</t>
  </si>
  <si>
    <t xml:space="preserve">CONCATENATE(a,b) works the same as a&amp;b; &amp; is shorter and preferred.</t>
  </si>
  <si>
    <t xml:space="preserve">Edge-Case Tests</t>
  </si>
  <si>
    <t xml:space="preserve">#</t>
  </si>
  <si>
    <t xml:space="preserve">Scenario</t>
  </si>
  <si>
    <t xml:space="preserve">Test input</t>
  </si>
  <si>
    <t xml:space="preserve">Naive formula</t>
  </si>
  <si>
    <t xml:space="preserve">Naive result</t>
  </si>
  <si>
    <t xml:space="preserve">Robust formula</t>
  </si>
  <si>
    <t xml:space="preserve">Robust result</t>
  </si>
  <si>
    <t xml:space="preserve">Helper cells</t>
  </si>
  <si>
    <t xml:space="preserve">Blank cell used in IF</t>
  </si>
  <si>
    <t xml:space="preserve">I4 (blank)</t>
  </si>
  <si>
    <t xml:space="preserve">=IF(I4&gt;0,"Positive","Zero/Blank")</t>
  </si>
  <si>
    <t xml:space="preserve">=IF(ISBLANK(I4),"Blank – skipped",IF(I4&gt;0,"Positive","Zero"))</t>
  </si>
  <si>
    <t xml:space="preserve">I4 = truly blank</t>
  </si>
  <si>
    <t xml:space="preserve">Number stored as text in SUM</t>
  </si>
  <si>
    <t xml:space="preserve">I5 ('25' text)</t>
  </si>
  <si>
    <t xml:space="preserve">=SUM(I5,I6)</t>
  </si>
  <si>
    <t xml:space="preserve">=SUM(VALUE(I5),I6)</t>
  </si>
  <si>
    <t xml:space="preserve">25</t>
  </si>
  <si>
    <t xml:space="preserve">I5 = '25' stored as TEXT</t>
  </si>
  <si>
    <t xml:space="preserve">Text vs number compare</t>
  </si>
  <si>
    <t xml:space="preserve">I5 vs I6</t>
  </si>
  <si>
    <t xml:space="preserve">=I5=I6</t>
  </si>
  <si>
    <t xml:space="preserve">=VALUE(I5)=I6</t>
  </si>
  <si>
    <t xml:space="preserve">I6 = number 25</t>
  </si>
  <si>
    <t xml:space="preserve">Trailing space breaks lookup</t>
  </si>
  <si>
    <t xml:space="preserve">I7 ('P203 ')</t>
  </si>
  <si>
    <t xml:space="preserve">=VLOOKUP(I7,ProdTable,2,FALSE)</t>
  </si>
  <si>
    <t xml:space="preserve">=VLOOKUP(TRIM(I7),ProdTable,2,FALSE)</t>
  </si>
  <si>
    <t xml:space="preserve">P203 </t>
  </si>
  <si>
    <t xml:space="preserve">I7 = 'P203 ' with trailing space</t>
  </si>
  <si>
    <t xml:space="preserve">Missing key in lookup</t>
  </si>
  <si>
    <t xml:space="preserve">'P999'</t>
  </si>
  <si>
    <t xml:space="preserve">=VLOOKUP("P999",ProdTable,2,FALSE)</t>
  </si>
  <si>
    <t xml:space="preserve">=IFERROR(VLOOKUP("P999",ProdTable,2,FALSE),"Not in product list")</t>
  </si>
  <si>
    <t xml:space="preserve">I8 = 'P203'</t>
  </si>
  <si>
    <t xml:space="preserve">Divide by zero (avg of empty group)</t>
  </si>
  <si>
    <t xml:space="preserve">0 orders</t>
  </si>
  <si>
    <t xml:space="preserve">=0/0</t>
  </si>
  <si>
    <t xml:space="preserve">=IFERROR(0/0,0)</t>
  </si>
  <si>
    <t xml:space="preserve">COUNTIF ignores blanks vs COUNTA</t>
  </si>
  <si>
    <t xml:space="preserve">range I4:I8</t>
  </si>
  <si>
    <t xml:space="preserve">=COUNTA(I4:I8)</t>
  </si>
  <si>
    <t xml:space="preserve">=COUNT(I4:I8)</t>
  </si>
  <si>
    <t xml:space="preserve">Naive formulas that would return an Excel error are shown wrapped in IFERROR here so the workbook stays error-free; in real use they would display the error.</t>
  </si>
  <si>
    <t xml:space="preserve">When to use each formula</t>
  </si>
  <si>
    <t xml:space="preserve">Formula</t>
  </si>
  <si>
    <t xml:space="preserve">Use it when…</t>
  </si>
  <si>
    <t xml:space="preserve">Watch out for</t>
  </si>
  <si>
    <t xml:space="preserve">VLOOKUP</t>
  </si>
  <si>
    <t xml:space="preserve">Pulling a value from a table when the key is in the LEFTMOST column</t>
  </si>
  <si>
    <t xml:space="preserve">Use FALSE for exact match; breaks if columns are inserted (hard-coded col index)</t>
  </si>
  <si>
    <t xml:space="preserve">XLOOKUP</t>
  </si>
  <si>
    <t xml:space="preserve">Modern replacement: any direction lookup, built-in 'not found' value, exact match by default</t>
  </si>
  <si>
    <t xml:space="preserve">Only Excel 365/2021+ and Google Sheets – not older Excel</t>
  </si>
  <si>
    <t xml:space="preserve">INDEX/MATCH</t>
  </si>
  <si>
    <t xml:space="preserve">Need to look left, or want lookups that survive column insertion; works in all versions</t>
  </si>
  <si>
    <t xml:space="preserve">Two functions – a bit longer; use 0 in MATCH for exact</t>
  </si>
  <si>
    <t xml:space="preserve">IF</t>
  </si>
  <si>
    <t xml:space="preserve">Two outcomes: pass/fail, high/low, flag/no flag</t>
  </si>
  <si>
    <t xml:space="preserve">Keep nested IFs to 3 levels – then use a lookup table</t>
  </si>
  <si>
    <t xml:space="preserve">IF + AND / OR</t>
  </si>
  <si>
    <t xml:space="preserve">Multiple conditions must all (AND) or any (OR) be true</t>
  </si>
  <si>
    <t xml:space="preserve">Remember to quote text criteria</t>
  </si>
  <si>
    <t xml:space="preserve">IFERROR</t>
  </si>
  <si>
    <t xml:space="preserve">Replace Excel errors (not-found, divide-by-zero) with a friendly message</t>
  </si>
  <si>
    <t xml:space="preserve">Don't use it to hide real bugs – test first</t>
  </si>
  <si>
    <t xml:space="preserve">SUMIF / SUMIFS</t>
  </si>
  <si>
    <t xml:space="preserve">Add values that meet 1 (SUMIF) or many (SUMIFS) conditions</t>
  </si>
  <si>
    <t xml:space="preserve">SUMIFS puts sum_range FIRST; SUMIF puts it LAST</t>
  </si>
  <si>
    <t xml:space="preserve">COUNTIF / COUNTIFS</t>
  </si>
  <si>
    <t xml:space="preserve">Count rows that meet one / several conditions</t>
  </si>
  <si>
    <t xml:space="preserve">Criteria like "&gt;5" need quotes; use &amp; to join cell references</t>
  </si>
  <si>
    <t xml:space="preserve">AVERAGEIFS</t>
  </si>
  <si>
    <t xml:space="preserve">Average of rows meeting conditions</t>
  </si>
  <si>
    <t xml:space="preserve">Wrap in IFERROR – no matching rows causes a divide-by-zero error</t>
  </si>
  <si>
    <t xml:space="preserve">LEFT / RIGHT / MID</t>
  </si>
  <si>
    <t xml:space="preserve">Extract fixed-position pieces (codes, years, prefixes)</t>
  </si>
  <si>
    <t xml:space="preserve">Combine with FIND to extract variable-length text</t>
  </si>
  <si>
    <t xml:space="preserve">TRIM / UPPER / LOWER / PROPER</t>
  </si>
  <si>
    <t xml:space="preserve">Clean messy imported text before lookups or grouping</t>
  </si>
  <si>
    <t xml:space="preserve">TRIM removes extra spaces but not non-breaking spaces (CHAR(160))</t>
  </si>
  <si>
    <t xml:space="preserve">&amp; / CONCATENATE</t>
  </si>
  <si>
    <t xml:space="preserve">Join text from several cells</t>
  </si>
  <si>
    <t xml:space="preserve">Use TEXT() to format dates/numbers inside joined text</t>
  </si>
  <si>
    <t xml:space="preserve">SUBSTITUTE</t>
  </si>
  <si>
    <t xml:space="preserve">Replace a specific character/word inside text</t>
  </si>
  <si>
    <t xml:space="preserve">Case-sensitive</t>
  </si>
  <si>
    <t xml:space="preserve">Interview questions – answers</t>
  </si>
  <si>
    <t xml:space="preserve">What's the difference between SUMIF and SUMIFS?</t>
  </si>
  <si>
    <t xml:space="preserve">SUMIF handles ONE condition; SUMIFS handles MANY (AND logic). Argument order differs: SUMIF(range, criteria, sum_range) vs SUMIFS(sum_range, range1, criteria1, range2, criteria2…). Prefer SUMIFS everywhere – it also works with a single condition.</t>
  </si>
  <si>
    <t xml:space="preserve">How does XLOOKUP improve on VLOOKUP?</t>
  </si>
  <si>
    <t xml:space="preserve">XLOOKUP looks in any direction (not only right), defaults to exact match, has a built-in if_not_found argument, uses a lookup column instead of a fragile column number, returns whole rows/columns, and can search last-to-first.</t>
  </si>
  <si>
    <t xml:space="preserve">When would you use INDEX/MATCH instead of VLOOKUP?</t>
  </si>
  <si>
    <t xml:space="preserve">When the lookup column is to the RIGHT of the return column, when columns may be inserted/deleted (no hard-coded index), on older Excel without XLOOKUP, or for two-way lookups with two MATCH functions and faster performance on big sheets.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</si>
</sst>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.00"/>
    <numFmt numFmtId="167" formatCode="0%"/>
    <numFmt numFmtId="168" formatCode="0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Courier New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/>
      <c r="B7" s="3"/>
    </row>
    <row r="8" customFormat="false" ht="15" hidden="false" customHeight="false" outlineLevel="0" collapsed="false">
      <c r="A8" s="4" t="s">
        <v>9</v>
      </c>
      <c r="B8" s="4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2" customFormat="false" ht="15" hidden="false" customHeight="false" outlineLevel="0" collapsed="false">
      <c r="A12" s="2" t="s">
        <v>17</v>
      </c>
      <c r="B12" s="3" t="s">
        <v>18</v>
      </c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28</v>
      </c>
    </row>
    <row r="18" customFormat="false" ht="15" hidden="false" customHeight="false" outlineLevel="0" collapsed="false">
      <c r="A18" s="2" t="s">
        <v>29</v>
      </c>
      <c r="B18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31</v>
      </c>
      <c r="B1" s="4" t="s">
        <v>32</v>
      </c>
      <c r="C1" s="4" t="s">
        <v>33</v>
      </c>
      <c r="D1" s="4" t="s">
        <v>34</v>
      </c>
    </row>
    <row r="2" customFormat="false" ht="15" hidden="false" customHeight="false" outlineLevel="0" collapsed="false">
      <c r="A2" s="5" t="s">
        <v>35</v>
      </c>
      <c r="B2" s="5" t="s">
        <v>36</v>
      </c>
      <c r="C2" s="5" t="s">
        <v>37</v>
      </c>
      <c r="D2" s="5" t="n">
        <v>85</v>
      </c>
    </row>
    <row r="3" customFormat="false" ht="15" hidden="false" customHeight="false" outlineLevel="0" collapsed="false">
      <c r="A3" s="5" t="s">
        <v>38</v>
      </c>
      <c r="B3" s="5" t="s">
        <v>39</v>
      </c>
      <c r="C3" s="5" t="s">
        <v>37</v>
      </c>
      <c r="D3" s="5" t="n">
        <v>210</v>
      </c>
    </row>
    <row r="4" customFormat="false" ht="15" hidden="false" customHeight="false" outlineLevel="0" collapsed="false">
      <c r="A4" s="5" t="s">
        <v>40</v>
      </c>
      <c r="B4" s="5" t="s">
        <v>41</v>
      </c>
      <c r="C4" s="5" t="s">
        <v>37</v>
      </c>
      <c r="D4" s="5" t="n">
        <v>60</v>
      </c>
    </row>
    <row r="5" customFormat="false" ht="15" hidden="false" customHeight="false" outlineLevel="0" collapsed="false">
      <c r="A5" s="5" t="s">
        <v>42</v>
      </c>
      <c r="B5" s="5" t="s">
        <v>43</v>
      </c>
      <c r="C5" s="5" t="s">
        <v>44</v>
      </c>
      <c r="D5" s="5" t="n">
        <v>18</v>
      </c>
    </row>
    <row r="6" customFormat="false" ht="15" hidden="false" customHeight="false" outlineLevel="0" collapsed="false">
      <c r="A6" s="5" t="s">
        <v>45</v>
      </c>
      <c r="B6" s="5" t="s">
        <v>46</v>
      </c>
      <c r="C6" s="5" t="s">
        <v>44</v>
      </c>
      <c r="D6" s="5" t="n">
        <v>9</v>
      </c>
    </row>
    <row r="7" customFormat="false" ht="15" hidden="false" customHeight="false" outlineLevel="0" collapsed="false">
      <c r="A7" s="5" t="s">
        <v>47</v>
      </c>
      <c r="B7" s="5" t="s">
        <v>48</v>
      </c>
      <c r="C7" s="5" t="s">
        <v>44</v>
      </c>
      <c r="D7" s="5" t="n">
        <v>35</v>
      </c>
    </row>
    <row r="8" customFormat="false" ht="15" hidden="false" customHeight="false" outlineLevel="0" collapsed="false">
      <c r="A8" s="5" t="s">
        <v>49</v>
      </c>
      <c r="B8" s="5" t="s">
        <v>50</v>
      </c>
      <c r="C8" s="5" t="s">
        <v>44</v>
      </c>
      <c r="D8" s="5" t="n">
        <v>14</v>
      </c>
    </row>
    <row r="9" customFormat="false" ht="15" hidden="false" customHeight="false" outlineLevel="0" collapsed="false">
      <c r="A9" s="5" t="s">
        <v>51</v>
      </c>
      <c r="B9" s="5" t="s">
        <v>52</v>
      </c>
      <c r="C9" s="5" t="s">
        <v>53</v>
      </c>
      <c r="D9" s="5" t="n">
        <v>4</v>
      </c>
    </row>
    <row r="10" customFormat="false" ht="15" hidden="false" customHeight="false" outlineLevel="0" collapsed="false">
      <c r="A10" s="5" t="s">
        <v>54</v>
      </c>
      <c r="B10" s="5" t="s">
        <v>55</v>
      </c>
      <c r="C10" s="5" t="s">
        <v>53</v>
      </c>
      <c r="D10" s="5" t="n">
        <v>3</v>
      </c>
    </row>
    <row r="11" customFormat="false" ht="15" hidden="false" customHeight="false" outlineLevel="0" collapsed="false">
      <c r="A11" s="5" t="s">
        <v>56</v>
      </c>
      <c r="B11" s="5" t="s">
        <v>57</v>
      </c>
      <c r="C11" s="5" t="s">
        <v>53</v>
      </c>
      <c r="D11" s="5" t="n">
        <v>7</v>
      </c>
    </row>
    <row r="13" customFormat="false" ht="15" hidden="false" customHeight="false" outlineLevel="0" collapsed="false">
      <c r="A13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9" min="8" style="0" width="11"/>
    <col collapsed="false" customWidth="true" hidden="false" outlineLevel="0" max="10" min="10" style="0" width="12"/>
  </cols>
  <sheetData>
    <row r="1" customFormat="false" ht="26.85" hidden="false" customHeight="false" outlineLevel="0" collapsed="false">
      <c r="A1" s="4" t="s">
        <v>59</v>
      </c>
      <c r="B1" s="4" t="s">
        <v>60</v>
      </c>
      <c r="C1" s="4" t="s">
        <v>61</v>
      </c>
      <c r="D1" s="4" t="s">
        <v>62</v>
      </c>
      <c r="E1" s="4" t="s">
        <v>33</v>
      </c>
      <c r="F1" s="4" t="s">
        <v>31</v>
      </c>
      <c r="G1" s="4" t="s">
        <v>63</v>
      </c>
      <c r="H1" s="4" t="s">
        <v>64</v>
      </c>
      <c r="I1" s="4" t="s">
        <v>65</v>
      </c>
      <c r="J1" s="4" t="s">
        <v>66</v>
      </c>
      <c r="L1" s="6" t="s">
        <v>67</v>
      </c>
    </row>
    <row r="2" customFormat="false" ht="15" hidden="false" customHeight="false" outlineLevel="0" collapsed="false">
      <c r="A2" s="5" t="s">
        <v>68</v>
      </c>
      <c r="B2" s="7" t="n">
        <v>46266</v>
      </c>
      <c r="C2" s="5" t="s">
        <v>69</v>
      </c>
      <c r="D2" s="5" t="s">
        <v>70</v>
      </c>
      <c r="E2" s="5" t="s">
        <v>44</v>
      </c>
      <c r="F2" s="5" t="s">
        <v>45</v>
      </c>
      <c r="G2" s="5" t="n">
        <v>9</v>
      </c>
      <c r="H2" s="8" t="n">
        <v>14.4</v>
      </c>
      <c r="I2" s="9" t="n">
        <v>0.15</v>
      </c>
      <c r="J2" s="10" t="n">
        <f aca="false">G2*H2*(1-I2)</f>
        <v>110.16</v>
      </c>
      <c r="L2" s="6" t="s">
        <v>71</v>
      </c>
    </row>
    <row r="3" customFormat="false" ht="15" hidden="false" customHeight="false" outlineLevel="0" collapsed="false">
      <c r="A3" s="5" t="s">
        <v>72</v>
      </c>
      <c r="B3" s="7" t="n">
        <v>46228</v>
      </c>
      <c r="C3" s="5" t="s">
        <v>73</v>
      </c>
      <c r="D3" s="5" t="s">
        <v>74</v>
      </c>
      <c r="E3" s="5" t="s">
        <v>37</v>
      </c>
      <c r="F3" s="5" t="s">
        <v>38</v>
      </c>
      <c r="G3" s="5" t="n">
        <v>7</v>
      </c>
      <c r="H3" s="8" t="n">
        <v>439.57</v>
      </c>
      <c r="I3" s="9" t="n">
        <v>0.05</v>
      </c>
      <c r="J3" s="10" t="n">
        <f aca="false">G3*H3*(1-I3)</f>
        <v>2923.1405</v>
      </c>
    </row>
    <row r="4" customFormat="false" ht="15" hidden="false" customHeight="false" outlineLevel="0" collapsed="false">
      <c r="A4" s="5" t="s">
        <v>75</v>
      </c>
      <c r="B4" s="7" t="n">
        <v>46250</v>
      </c>
      <c r="C4" s="5" t="s">
        <v>76</v>
      </c>
      <c r="D4" s="5" t="s">
        <v>77</v>
      </c>
      <c r="E4" s="5" t="s">
        <v>37</v>
      </c>
      <c r="F4" s="5" t="s">
        <v>38</v>
      </c>
      <c r="G4" s="5" t="n">
        <v>8</v>
      </c>
      <c r="H4" s="8" t="n">
        <v>439.57</v>
      </c>
      <c r="I4" s="9" t="n">
        <v>0.2</v>
      </c>
      <c r="J4" s="10" t="n">
        <f aca="false">G4*H4*(1-I4)</f>
        <v>2813.248</v>
      </c>
    </row>
    <row r="5" customFormat="false" ht="15" hidden="false" customHeight="false" outlineLevel="0" collapsed="false">
      <c r="A5" s="5" t="s">
        <v>78</v>
      </c>
      <c r="B5" s="7" t="n">
        <v>46229</v>
      </c>
      <c r="C5" s="5" t="s">
        <v>73</v>
      </c>
      <c r="D5" s="5" t="s">
        <v>74</v>
      </c>
      <c r="E5" s="5" t="s">
        <v>37</v>
      </c>
      <c r="F5" s="5" t="s">
        <v>38</v>
      </c>
      <c r="G5" s="5" t="n">
        <v>1</v>
      </c>
      <c r="H5" s="8" t="n">
        <v>439.57</v>
      </c>
      <c r="I5" s="9" t="n">
        <v>0.15</v>
      </c>
      <c r="J5" s="10" t="n">
        <f aca="false">G5*H5*(1-I5)</f>
        <v>373.6345</v>
      </c>
    </row>
    <row r="6" customFormat="false" ht="15" hidden="false" customHeight="false" outlineLevel="0" collapsed="false">
      <c r="A6" s="5" t="s">
        <v>79</v>
      </c>
      <c r="B6" s="7" t="n">
        <v>46287</v>
      </c>
      <c r="C6" s="5" t="s">
        <v>80</v>
      </c>
      <c r="D6" s="5" t="s">
        <v>70</v>
      </c>
      <c r="E6" s="5" t="s">
        <v>44</v>
      </c>
      <c r="F6" s="5" t="s">
        <v>42</v>
      </c>
      <c r="G6" s="5" t="n">
        <v>4</v>
      </c>
      <c r="H6" s="8" t="n">
        <v>31.63</v>
      </c>
      <c r="I6" s="9" t="n">
        <v>0.15</v>
      </c>
      <c r="J6" s="10" t="n">
        <f aca="false">G6*H6*(1-I6)</f>
        <v>107.542</v>
      </c>
    </row>
    <row r="7" customFormat="false" ht="15" hidden="false" customHeight="false" outlineLevel="0" collapsed="false">
      <c r="A7" s="5" t="s">
        <v>81</v>
      </c>
      <c r="B7" s="7" t="n">
        <v>46286</v>
      </c>
      <c r="C7" s="5" t="s">
        <v>82</v>
      </c>
      <c r="D7" s="5" t="s">
        <v>77</v>
      </c>
      <c r="E7" s="5" t="s">
        <v>53</v>
      </c>
      <c r="F7" s="5" t="s">
        <v>56</v>
      </c>
      <c r="G7" s="5" t="n">
        <v>4</v>
      </c>
      <c r="H7" s="8" t="n">
        <v>14.43</v>
      </c>
      <c r="I7" s="9" t="n">
        <v>0.15</v>
      </c>
      <c r="J7" s="10" t="n">
        <f aca="false">G7*H7*(1-I7)</f>
        <v>49.062</v>
      </c>
    </row>
    <row r="8" customFormat="false" ht="15" hidden="false" customHeight="false" outlineLevel="0" collapsed="false">
      <c r="A8" s="5" t="s">
        <v>83</v>
      </c>
      <c r="B8" s="7" t="n">
        <v>46242</v>
      </c>
      <c r="C8" s="5" t="s">
        <v>80</v>
      </c>
      <c r="D8" s="5" t="s">
        <v>74</v>
      </c>
      <c r="E8" s="5" t="s">
        <v>44</v>
      </c>
      <c r="F8" s="5" t="s">
        <v>49</v>
      </c>
      <c r="G8" s="5" t="n">
        <v>2</v>
      </c>
      <c r="H8" s="8" t="n">
        <v>26.35</v>
      </c>
      <c r="I8" s="9" t="n">
        <v>0.15</v>
      </c>
      <c r="J8" s="10" t="n">
        <f aca="false">G8*H8*(1-I8)</f>
        <v>44.795</v>
      </c>
    </row>
    <row r="9" customFormat="false" ht="15" hidden="false" customHeight="false" outlineLevel="0" collapsed="false">
      <c r="A9" s="5" t="s">
        <v>84</v>
      </c>
      <c r="B9" s="7" t="n">
        <v>46229</v>
      </c>
      <c r="C9" s="5" t="s">
        <v>85</v>
      </c>
      <c r="D9" s="5" t="s">
        <v>77</v>
      </c>
      <c r="E9" s="5" t="s">
        <v>53</v>
      </c>
      <c r="F9" s="5" t="s">
        <v>54</v>
      </c>
      <c r="G9" s="5" t="n">
        <v>5</v>
      </c>
      <c r="H9" s="8" t="n">
        <v>5.47</v>
      </c>
      <c r="I9" s="9" t="n">
        <v>0.2</v>
      </c>
      <c r="J9" s="10" t="n">
        <f aca="false">G9*H9*(1-I9)</f>
        <v>21.88</v>
      </c>
    </row>
    <row r="10" customFormat="false" ht="15" hidden="false" customHeight="false" outlineLevel="0" collapsed="false">
      <c r="A10" s="5" t="s">
        <v>86</v>
      </c>
      <c r="B10" s="7" t="n">
        <v>46252</v>
      </c>
      <c r="C10" s="5" t="s">
        <v>87</v>
      </c>
      <c r="D10" s="5" t="s">
        <v>88</v>
      </c>
      <c r="E10" s="5" t="s">
        <v>44</v>
      </c>
      <c r="F10" s="5" t="s">
        <v>42</v>
      </c>
      <c r="G10" s="5" t="n">
        <v>3</v>
      </c>
      <c r="H10" s="8" t="n">
        <v>31.63</v>
      </c>
      <c r="I10" s="9" t="n">
        <v>0.15</v>
      </c>
      <c r="J10" s="10" t="n">
        <f aca="false">G10*H10*(1-I10)</f>
        <v>80.6565</v>
      </c>
    </row>
    <row r="11" customFormat="false" ht="15" hidden="false" customHeight="false" outlineLevel="0" collapsed="false">
      <c r="A11" s="5" t="s">
        <v>89</v>
      </c>
      <c r="B11" s="7" t="n">
        <v>46293</v>
      </c>
      <c r="C11" s="5" t="s">
        <v>82</v>
      </c>
      <c r="D11" s="5" t="s">
        <v>88</v>
      </c>
      <c r="E11" s="5" t="s">
        <v>44</v>
      </c>
      <c r="F11" s="5" t="s">
        <v>42</v>
      </c>
      <c r="G11" s="5" t="n">
        <v>3</v>
      </c>
      <c r="H11" s="8" t="n">
        <v>31.63</v>
      </c>
      <c r="I11" s="9" t="n">
        <v>0</v>
      </c>
      <c r="J11" s="10" t="n">
        <f aca="false">G11*H11*(1-I11)</f>
        <v>94.89</v>
      </c>
    </row>
    <row r="12" customFormat="false" ht="15" hidden="false" customHeight="false" outlineLevel="0" collapsed="false">
      <c r="A12" s="5" t="s">
        <v>90</v>
      </c>
      <c r="B12" s="7" t="n">
        <v>46275</v>
      </c>
      <c r="C12" s="5" t="s">
        <v>73</v>
      </c>
      <c r="D12" s="5" t="s">
        <v>77</v>
      </c>
      <c r="E12" s="5" t="s">
        <v>44</v>
      </c>
      <c r="F12" s="5" t="s">
        <v>47</v>
      </c>
      <c r="G12" s="5" t="n">
        <v>7</v>
      </c>
      <c r="H12" s="8" t="n">
        <v>69.92</v>
      </c>
      <c r="I12" s="9" t="n">
        <v>0.15</v>
      </c>
      <c r="J12" s="10" t="n">
        <f aca="false">G12*H12*(1-I12)</f>
        <v>416.024</v>
      </c>
    </row>
    <row r="13" customFormat="false" ht="15" hidden="false" customHeight="false" outlineLevel="0" collapsed="false">
      <c r="A13" s="5" t="s">
        <v>91</v>
      </c>
      <c r="B13" s="7" t="n">
        <v>46241</v>
      </c>
      <c r="C13" s="5" t="s">
        <v>92</v>
      </c>
      <c r="D13" s="5" t="s">
        <v>70</v>
      </c>
      <c r="E13" s="5" t="s">
        <v>44</v>
      </c>
      <c r="F13" s="5" t="s">
        <v>49</v>
      </c>
      <c r="G13" s="5" t="n">
        <v>1</v>
      </c>
      <c r="H13" s="8" t="n">
        <v>26.35</v>
      </c>
      <c r="I13" s="9" t="n">
        <v>0</v>
      </c>
      <c r="J13" s="10" t="n">
        <f aca="false">G13*H13*(1-I13)</f>
        <v>26.35</v>
      </c>
    </row>
    <row r="14" customFormat="false" ht="15" hidden="false" customHeight="false" outlineLevel="0" collapsed="false">
      <c r="A14" s="5" t="s">
        <v>93</v>
      </c>
      <c r="B14" s="7" t="n">
        <v>46280</v>
      </c>
      <c r="C14" s="5" t="s">
        <v>76</v>
      </c>
      <c r="D14" s="5" t="s">
        <v>74</v>
      </c>
      <c r="E14" s="5" t="s">
        <v>44</v>
      </c>
      <c r="F14" s="5" t="s">
        <v>49</v>
      </c>
      <c r="G14" s="5" t="n">
        <v>8</v>
      </c>
      <c r="H14" s="8" t="n">
        <v>26.35</v>
      </c>
      <c r="I14" s="9" t="n">
        <v>0</v>
      </c>
      <c r="J14" s="10" t="n">
        <f aca="false">G14*H14*(1-I14)</f>
        <v>210.8</v>
      </c>
    </row>
    <row r="15" customFormat="false" ht="15" hidden="false" customHeight="false" outlineLevel="0" collapsed="false">
      <c r="A15" s="5" t="s">
        <v>94</v>
      </c>
      <c r="B15" s="7" t="n">
        <v>46281</v>
      </c>
      <c r="C15" s="5" t="s">
        <v>87</v>
      </c>
      <c r="D15" s="5" t="s">
        <v>70</v>
      </c>
      <c r="E15" s="5" t="s">
        <v>37</v>
      </c>
      <c r="F15" s="5" t="s">
        <v>38</v>
      </c>
      <c r="G15" s="5" t="n">
        <v>7</v>
      </c>
      <c r="H15" s="8" t="n">
        <v>439.57</v>
      </c>
      <c r="I15" s="9" t="n">
        <v>0</v>
      </c>
      <c r="J15" s="10" t="n">
        <f aca="false">G15*H15*(1-I15)</f>
        <v>3076.99</v>
      </c>
    </row>
    <row r="16" customFormat="false" ht="15" hidden="false" customHeight="false" outlineLevel="0" collapsed="false">
      <c r="A16" s="5" t="s">
        <v>95</v>
      </c>
      <c r="B16" s="7" t="n">
        <v>46258</v>
      </c>
      <c r="C16" s="5" t="s">
        <v>87</v>
      </c>
      <c r="D16" s="5" t="s">
        <v>77</v>
      </c>
      <c r="E16" s="5" t="s">
        <v>53</v>
      </c>
      <c r="F16" s="5" t="s">
        <v>54</v>
      </c>
      <c r="G16" s="5" t="n">
        <v>12</v>
      </c>
      <c r="H16" s="8" t="n">
        <v>5.47</v>
      </c>
      <c r="I16" s="9" t="n">
        <v>0.1</v>
      </c>
      <c r="J16" s="10" t="n">
        <f aca="false">G16*H16*(1-I16)</f>
        <v>59.076</v>
      </c>
    </row>
    <row r="17" customFormat="false" ht="15" hidden="false" customHeight="false" outlineLevel="0" collapsed="false">
      <c r="A17" s="5" t="s">
        <v>96</v>
      </c>
      <c r="B17" s="7" t="n">
        <v>46228</v>
      </c>
      <c r="C17" s="5" t="s">
        <v>73</v>
      </c>
      <c r="D17" s="5" t="s">
        <v>70</v>
      </c>
      <c r="E17" s="5" t="s">
        <v>37</v>
      </c>
      <c r="F17" s="5" t="s">
        <v>38</v>
      </c>
      <c r="G17" s="5" t="n">
        <v>8</v>
      </c>
      <c r="H17" s="8" t="n">
        <v>439.57</v>
      </c>
      <c r="I17" s="9" t="n">
        <v>0.2</v>
      </c>
      <c r="J17" s="10" t="n">
        <f aca="false">G17*H17*(1-I17)</f>
        <v>2813.248</v>
      </c>
    </row>
    <row r="18" customFormat="false" ht="15" hidden="false" customHeight="false" outlineLevel="0" collapsed="false">
      <c r="A18" s="5" t="s">
        <v>97</v>
      </c>
      <c r="B18" s="7" t="n">
        <v>46206</v>
      </c>
      <c r="C18" s="5" t="s">
        <v>82</v>
      </c>
      <c r="D18" s="5" t="s">
        <v>74</v>
      </c>
      <c r="E18" s="5" t="s">
        <v>37</v>
      </c>
      <c r="F18" s="5" t="s">
        <v>40</v>
      </c>
      <c r="G18" s="5" t="n">
        <v>5</v>
      </c>
      <c r="H18" s="8" t="n">
        <v>113.46</v>
      </c>
      <c r="I18" s="9" t="n">
        <v>0.15</v>
      </c>
      <c r="J18" s="10" t="n">
        <f aca="false">G18*H18*(1-I18)</f>
        <v>482.205</v>
      </c>
    </row>
    <row r="19" customFormat="false" ht="15" hidden="false" customHeight="false" outlineLevel="0" collapsed="false">
      <c r="A19" s="5" t="s">
        <v>98</v>
      </c>
      <c r="B19" s="7" t="n">
        <v>46228</v>
      </c>
      <c r="C19" s="5" t="s">
        <v>73</v>
      </c>
      <c r="D19" s="5" t="s">
        <v>70</v>
      </c>
      <c r="E19" s="5" t="s">
        <v>44</v>
      </c>
      <c r="F19" s="5" t="s">
        <v>47</v>
      </c>
      <c r="G19" s="5" t="n">
        <v>6</v>
      </c>
      <c r="H19" s="8" t="n">
        <v>69.92</v>
      </c>
      <c r="I19" s="9" t="n">
        <v>0.15</v>
      </c>
      <c r="J19" s="10" t="n">
        <f aca="false">G19*H19*(1-I19)</f>
        <v>356.592</v>
      </c>
    </row>
    <row r="20" customFormat="false" ht="15" hidden="false" customHeight="false" outlineLevel="0" collapsed="false">
      <c r="A20" s="5" t="s">
        <v>99</v>
      </c>
      <c r="B20" s="7" t="n">
        <v>46256</v>
      </c>
      <c r="C20" s="5" t="s">
        <v>76</v>
      </c>
      <c r="D20" s="5" t="s">
        <v>70</v>
      </c>
      <c r="E20" s="5" t="s">
        <v>44</v>
      </c>
      <c r="F20" s="5" t="s">
        <v>45</v>
      </c>
      <c r="G20" s="5" t="n">
        <v>5</v>
      </c>
      <c r="H20" s="8" t="n">
        <v>14.4</v>
      </c>
      <c r="I20" s="9" t="n">
        <v>0.15</v>
      </c>
      <c r="J20" s="10" t="n">
        <f aca="false">G20*H20*(1-I20)</f>
        <v>61.2</v>
      </c>
    </row>
    <row r="21" customFormat="false" ht="15" hidden="false" customHeight="false" outlineLevel="0" collapsed="false">
      <c r="A21" s="5" t="s">
        <v>100</v>
      </c>
      <c r="B21" s="7" t="n">
        <v>46288</v>
      </c>
      <c r="C21" s="5" t="s">
        <v>87</v>
      </c>
      <c r="D21" s="5" t="s">
        <v>70</v>
      </c>
      <c r="E21" s="5" t="s">
        <v>53</v>
      </c>
      <c r="F21" s="5" t="s">
        <v>51</v>
      </c>
      <c r="G21" s="5" t="n">
        <v>3</v>
      </c>
      <c r="H21" s="8" t="n">
        <v>8.22</v>
      </c>
      <c r="I21" s="9" t="n">
        <v>0.2</v>
      </c>
      <c r="J21" s="10" t="n">
        <f aca="false">G21*H21*(1-I21)</f>
        <v>19.728</v>
      </c>
    </row>
    <row r="22" customFormat="false" ht="15" hidden="false" customHeight="false" outlineLevel="0" collapsed="false">
      <c r="A22" s="5" t="s">
        <v>101</v>
      </c>
      <c r="B22" s="7" t="n">
        <v>46267</v>
      </c>
      <c r="C22" s="5" t="s">
        <v>73</v>
      </c>
      <c r="D22" s="5" t="s">
        <v>70</v>
      </c>
      <c r="E22" s="5" t="s">
        <v>44</v>
      </c>
      <c r="F22" s="5" t="s">
        <v>49</v>
      </c>
      <c r="G22" s="5" t="n">
        <v>6</v>
      </c>
      <c r="H22" s="8" t="n">
        <v>26.35</v>
      </c>
      <c r="I22" s="9" t="n">
        <v>0.05</v>
      </c>
      <c r="J22" s="10" t="n">
        <f aca="false">G22*H22*(1-I22)</f>
        <v>150.195</v>
      </c>
    </row>
    <row r="23" customFormat="false" ht="15" hidden="false" customHeight="false" outlineLevel="0" collapsed="false">
      <c r="A23" s="5" t="s">
        <v>102</v>
      </c>
      <c r="B23" s="7" t="n">
        <v>46283</v>
      </c>
      <c r="C23" s="5" t="s">
        <v>76</v>
      </c>
      <c r="D23" s="5" t="s">
        <v>77</v>
      </c>
      <c r="E23" s="5" t="s">
        <v>37</v>
      </c>
      <c r="F23" s="5" t="s">
        <v>40</v>
      </c>
      <c r="G23" s="5" t="n">
        <v>6</v>
      </c>
      <c r="H23" s="8" t="n">
        <v>113.46</v>
      </c>
      <c r="I23" s="9" t="n">
        <v>0.2</v>
      </c>
      <c r="J23" s="10" t="n">
        <f aca="false">G23*H23*(1-I23)</f>
        <v>544.608</v>
      </c>
    </row>
    <row r="24" customFormat="false" ht="15" hidden="false" customHeight="false" outlineLevel="0" collapsed="false">
      <c r="A24" s="5" t="s">
        <v>103</v>
      </c>
      <c r="B24" s="7" t="n">
        <v>46266</v>
      </c>
      <c r="C24" s="5" t="s">
        <v>92</v>
      </c>
      <c r="D24" s="5" t="s">
        <v>77</v>
      </c>
      <c r="E24" s="5" t="s">
        <v>44</v>
      </c>
      <c r="F24" s="5" t="s">
        <v>49</v>
      </c>
      <c r="G24" s="5" t="n">
        <v>9</v>
      </c>
      <c r="H24" s="8" t="n">
        <v>26.35</v>
      </c>
      <c r="I24" s="9" t="n">
        <v>0</v>
      </c>
      <c r="J24" s="10" t="n">
        <f aca="false">G24*H24*(1-I24)</f>
        <v>237.15</v>
      </c>
    </row>
    <row r="25" customFormat="false" ht="15" hidden="false" customHeight="false" outlineLevel="0" collapsed="false">
      <c r="A25" s="5" t="s">
        <v>104</v>
      </c>
      <c r="B25" s="7" t="n">
        <v>46261</v>
      </c>
      <c r="C25" s="5" t="s">
        <v>82</v>
      </c>
      <c r="D25" s="5" t="s">
        <v>88</v>
      </c>
      <c r="E25" s="5" t="s">
        <v>53</v>
      </c>
      <c r="F25" s="5" t="s">
        <v>56</v>
      </c>
      <c r="G25" s="5" t="n">
        <v>1</v>
      </c>
      <c r="H25" s="8" t="n">
        <v>14.43</v>
      </c>
      <c r="I25" s="9" t="n">
        <v>0.15</v>
      </c>
      <c r="J25" s="10" t="n">
        <f aca="false">G25*H25*(1-I25)</f>
        <v>12.2655</v>
      </c>
    </row>
    <row r="26" customFormat="false" ht="15" hidden="false" customHeight="false" outlineLevel="0" collapsed="false">
      <c r="A26" s="5" t="s">
        <v>105</v>
      </c>
      <c r="B26" s="7" t="n">
        <v>46218</v>
      </c>
      <c r="C26" s="5" t="s">
        <v>80</v>
      </c>
      <c r="D26" s="5" t="s">
        <v>77</v>
      </c>
      <c r="E26" s="5" t="s">
        <v>53</v>
      </c>
      <c r="F26" s="5" t="s">
        <v>56</v>
      </c>
      <c r="G26" s="5" t="n">
        <v>8</v>
      </c>
      <c r="H26" s="8" t="n">
        <v>14.43</v>
      </c>
      <c r="I26" s="9" t="n">
        <v>0.15</v>
      </c>
      <c r="J26" s="10" t="n">
        <f aca="false">G26*H26*(1-I26)</f>
        <v>98.124</v>
      </c>
    </row>
    <row r="27" customFormat="false" ht="15" hidden="false" customHeight="false" outlineLevel="0" collapsed="false">
      <c r="A27" s="5" t="s">
        <v>106</v>
      </c>
      <c r="B27" s="7" t="n">
        <v>46228</v>
      </c>
      <c r="C27" s="5" t="s">
        <v>92</v>
      </c>
      <c r="D27" s="5" t="s">
        <v>77</v>
      </c>
      <c r="E27" s="5" t="s">
        <v>37</v>
      </c>
      <c r="F27" s="5" t="s">
        <v>35</v>
      </c>
      <c r="G27" s="5" t="n">
        <v>10</v>
      </c>
      <c r="H27" s="8" t="n">
        <v>176.46</v>
      </c>
      <c r="I27" s="9" t="n">
        <v>0</v>
      </c>
      <c r="J27" s="10" t="n">
        <f aca="false">G27*H27*(1-I27)</f>
        <v>1764.6</v>
      </c>
    </row>
    <row r="28" customFormat="false" ht="15" hidden="false" customHeight="false" outlineLevel="0" collapsed="false">
      <c r="A28" s="5" t="s">
        <v>107</v>
      </c>
      <c r="B28" s="7" t="n">
        <v>46271</v>
      </c>
      <c r="C28" s="5" t="s">
        <v>87</v>
      </c>
      <c r="D28" s="5" t="s">
        <v>74</v>
      </c>
      <c r="E28" s="5" t="s">
        <v>44</v>
      </c>
      <c r="F28" s="5" t="s">
        <v>49</v>
      </c>
      <c r="G28" s="5" t="n">
        <v>8</v>
      </c>
      <c r="H28" s="8" t="n">
        <v>26.35</v>
      </c>
      <c r="I28" s="9" t="n">
        <v>0</v>
      </c>
      <c r="J28" s="10" t="n">
        <f aca="false">G28*H28*(1-I28)</f>
        <v>210.8</v>
      </c>
    </row>
    <row r="29" customFormat="false" ht="15" hidden="false" customHeight="false" outlineLevel="0" collapsed="false">
      <c r="A29" s="5" t="s">
        <v>108</v>
      </c>
      <c r="B29" s="7" t="n">
        <v>46251</v>
      </c>
      <c r="C29" s="5" t="s">
        <v>80</v>
      </c>
      <c r="D29" s="5" t="s">
        <v>88</v>
      </c>
      <c r="E29" s="5" t="s">
        <v>37</v>
      </c>
      <c r="F29" s="5" t="s">
        <v>38</v>
      </c>
      <c r="G29" s="5" t="n">
        <v>11</v>
      </c>
      <c r="H29" s="8" t="n">
        <v>439.57</v>
      </c>
      <c r="I29" s="9" t="n">
        <v>0.2</v>
      </c>
      <c r="J29" s="10" t="n">
        <f aca="false">G29*H29*(1-I29)</f>
        <v>3868.216</v>
      </c>
    </row>
    <row r="30" customFormat="false" ht="15" hidden="false" customHeight="false" outlineLevel="0" collapsed="false">
      <c r="A30" s="5" t="s">
        <v>109</v>
      </c>
      <c r="B30" s="7" t="n">
        <v>46281</v>
      </c>
      <c r="C30" s="5" t="s">
        <v>80</v>
      </c>
      <c r="D30" s="5" t="s">
        <v>88</v>
      </c>
      <c r="E30" s="5" t="s">
        <v>44</v>
      </c>
      <c r="F30" s="5" t="s">
        <v>42</v>
      </c>
      <c r="G30" s="5" t="n">
        <v>1</v>
      </c>
      <c r="H30" s="8" t="n">
        <v>31.63</v>
      </c>
      <c r="I30" s="9" t="n">
        <v>0.2</v>
      </c>
      <c r="J30" s="10" t="n">
        <f aca="false">G30*H30*(1-I30)</f>
        <v>25.304</v>
      </c>
    </row>
    <row r="31" customFormat="false" ht="15" hidden="false" customHeight="false" outlineLevel="0" collapsed="false">
      <c r="A31" s="5" t="s">
        <v>110</v>
      </c>
      <c r="B31" s="7" t="n">
        <v>46217</v>
      </c>
      <c r="C31" s="5" t="s">
        <v>82</v>
      </c>
      <c r="D31" s="5" t="s">
        <v>70</v>
      </c>
      <c r="E31" s="5" t="s">
        <v>37</v>
      </c>
      <c r="F31" s="5" t="s">
        <v>38</v>
      </c>
      <c r="G31" s="5" t="n">
        <v>8</v>
      </c>
      <c r="H31" s="8" t="n">
        <v>439.57</v>
      </c>
      <c r="I31" s="9" t="n">
        <v>0.2</v>
      </c>
      <c r="J31" s="10" t="n">
        <f aca="false">G31*H31*(1-I31)</f>
        <v>2813.248</v>
      </c>
    </row>
    <row r="32" customFormat="false" ht="15" hidden="false" customHeight="false" outlineLevel="0" collapsed="false">
      <c r="A32" s="5" t="s">
        <v>111</v>
      </c>
      <c r="B32" s="7" t="n">
        <v>46284</v>
      </c>
      <c r="C32" s="5" t="s">
        <v>82</v>
      </c>
      <c r="D32" s="5" t="s">
        <v>88</v>
      </c>
      <c r="E32" s="5" t="s">
        <v>37</v>
      </c>
      <c r="F32" s="5" t="s">
        <v>38</v>
      </c>
      <c r="G32" s="5" t="n">
        <v>10</v>
      </c>
      <c r="H32" s="8" t="n">
        <v>439.57</v>
      </c>
      <c r="I32" s="9" t="n">
        <v>0</v>
      </c>
      <c r="J32" s="10" t="n">
        <f aca="false">G32*H32*(1-I32)</f>
        <v>4395.7</v>
      </c>
    </row>
    <row r="33" customFormat="false" ht="15" hidden="false" customHeight="false" outlineLevel="0" collapsed="false">
      <c r="A33" s="5" t="s">
        <v>112</v>
      </c>
      <c r="B33" s="7" t="n">
        <v>46283</v>
      </c>
      <c r="C33" s="5" t="s">
        <v>73</v>
      </c>
      <c r="D33" s="5" t="s">
        <v>70</v>
      </c>
      <c r="E33" s="5" t="s">
        <v>37</v>
      </c>
      <c r="F33" s="5" t="s">
        <v>40</v>
      </c>
      <c r="G33" s="5" t="n">
        <v>8</v>
      </c>
      <c r="H33" s="8" t="n">
        <v>113.46</v>
      </c>
      <c r="I33" s="9" t="n">
        <v>0.2</v>
      </c>
      <c r="J33" s="10" t="n">
        <f aca="false">G33*H33*(1-I33)</f>
        <v>726.144</v>
      </c>
    </row>
    <row r="34" customFormat="false" ht="15" hidden="false" customHeight="false" outlineLevel="0" collapsed="false">
      <c r="A34" s="5" t="s">
        <v>113</v>
      </c>
      <c r="B34" s="7" t="n">
        <v>46285</v>
      </c>
      <c r="C34" s="5" t="s">
        <v>92</v>
      </c>
      <c r="D34" s="5" t="s">
        <v>88</v>
      </c>
      <c r="E34" s="5" t="s">
        <v>37</v>
      </c>
      <c r="F34" s="5" t="s">
        <v>35</v>
      </c>
      <c r="G34" s="5" t="n">
        <v>8</v>
      </c>
      <c r="H34" s="8" t="n">
        <v>176.46</v>
      </c>
      <c r="I34" s="9" t="n">
        <v>0.1</v>
      </c>
      <c r="J34" s="10" t="n">
        <f aca="false">G34*H34*(1-I34)</f>
        <v>1270.512</v>
      </c>
    </row>
    <row r="35" customFormat="false" ht="15" hidden="false" customHeight="false" outlineLevel="0" collapsed="false">
      <c r="A35" s="5" t="s">
        <v>114</v>
      </c>
      <c r="B35" s="7" t="n">
        <v>46261</v>
      </c>
      <c r="C35" s="5" t="s">
        <v>73</v>
      </c>
      <c r="D35" s="5" t="s">
        <v>70</v>
      </c>
      <c r="E35" s="5" t="s">
        <v>53</v>
      </c>
      <c r="F35" s="5" t="s">
        <v>51</v>
      </c>
      <c r="G35" s="5" t="n">
        <v>12</v>
      </c>
      <c r="H35" s="8" t="n">
        <v>8.22</v>
      </c>
      <c r="I35" s="9" t="n">
        <v>0.15</v>
      </c>
      <c r="J35" s="10" t="n">
        <f aca="false">G35*H35*(1-I35)</f>
        <v>83.844</v>
      </c>
    </row>
    <row r="36" customFormat="false" ht="15" hidden="false" customHeight="false" outlineLevel="0" collapsed="false">
      <c r="A36" s="5" t="s">
        <v>115</v>
      </c>
      <c r="B36" s="7" t="n">
        <v>46241</v>
      </c>
      <c r="C36" s="5" t="s">
        <v>80</v>
      </c>
      <c r="D36" s="5" t="s">
        <v>77</v>
      </c>
      <c r="E36" s="5" t="s">
        <v>37</v>
      </c>
      <c r="F36" s="5" t="s">
        <v>38</v>
      </c>
      <c r="G36" s="5" t="n">
        <v>6</v>
      </c>
      <c r="H36" s="8" t="n">
        <v>439.57</v>
      </c>
      <c r="I36" s="9" t="n">
        <v>0</v>
      </c>
      <c r="J36" s="10" t="n">
        <f aca="false">G36*H36*(1-I36)</f>
        <v>2637.42</v>
      </c>
    </row>
    <row r="37" customFormat="false" ht="15" hidden="false" customHeight="false" outlineLevel="0" collapsed="false">
      <c r="A37" s="5" t="s">
        <v>116</v>
      </c>
      <c r="B37" s="7" t="n">
        <v>46268</v>
      </c>
      <c r="C37" s="5" t="s">
        <v>73</v>
      </c>
      <c r="D37" s="5" t="s">
        <v>77</v>
      </c>
      <c r="E37" s="5" t="s">
        <v>37</v>
      </c>
      <c r="F37" s="5" t="s">
        <v>38</v>
      </c>
      <c r="G37" s="5" t="n">
        <v>5</v>
      </c>
      <c r="H37" s="8" t="n">
        <v>439.57</v>
      </c>
      <c r="I37" s="9" t="n">
        <v>0.1</v>
      </c>
      <c r="J37" s="10" t="n">
        <f aca="false">G37*H37*(1-I37)</f>
        <v>1978.065</v>
      </c>
    </row>
    <row r="38" customFormat="false" ht="15" hidden="false" customHeight="false" outlineLevel="0" collapsed="false">
      <c r="A38" s="5" t="s">
        <v>117</v>
      </c>
      <c r="B38" s="7" t="n">
        <v>46260</v>
      </c>
      <c r="C38" s="5" t="s">
        <v>80</v>
      </c>
      <c r="D38" s="5" t="s">
        <v>74</v>
      </c>
      <c r="E38" s="5" t="s">
        <v>44</v>
      </c>
      <c r="F38" s="5" t="s">
        <v>49</v>
      </c>
      <c r="G38" s="5" t="n">
        <v>12</v>
      </c>
      <c r="H38" s="8" t="n">
        <v>26.35</v>
      </c>
      <c r="I38" s="9" t="n">
        <v>0</v>
      </c>
      <c r="J38" s="10" t="n">
        <f aca="false">G38*H38*(1-I38)</f>
        <v>316.2</v>
      </c>
    </row>
    <row r="39" customFormat="false" ht="15" hidden="false" customHeight="false" outlineLevel="0" collapsed="false">
      <c r="A39" s="5" t="s">
        <v>118</v>
      </c>
      <c r="B39" s="7" t="n">
        <v>46281</v>
      </c>
      <c r="C39" s="5" t="s">
        <v>69</v>
      </c>
      <c r="D39" s="5" t="s">
        <v>74</v>
      </c>
      <c r="E39" s="5" t="s">
        <v>44</v>
      </c>
      <c r="F39" s="5" t="s">
        <v>42</v>
      </c>
      <c r="G39" s="5" t="n">
        <v>12</v>
      </c>
      <c r="H39" s="8" t="n">
        <v>31.63</v>
      </c>
      <c r="I39" s="9" t="n">
        <v>0</v>
      </c>
      <c r="J39" s="10" t="n">
        <f aca="false">G39*H39*(1-I39)</f>
        <v>379.56</v>
      </c>
    </row>
    <row r="40" customFormat="false" ht="15" hidden="false" customHeight="false" outlineLevel="0" collapsed="false">
      <c r="A40" s="5" t="s">
        <v>119</v>
      </c>
      <c r="B40" s="7" t="n">
        <v>46251</v>
      </c>
      <c r="C40" s="5" t="s">
        <v>82</v>
      </c>
      <c r="D40" s="5" t="s">
        <v>74</v>
      </c>
      <c r="E40" s="5" t="s">
        <v>44</v>
      </c>
      <c r="F40" s="5" t="s">
        <v>47</v>
      </c>
      <c r="G40" s="5" t="n">
        <v>12</v>
      </c>
      <c r="H40" s="8" t="n">
        <v>69.92</v>
      </c>
      <c r="I40" s="9" t="n">
        <v>0</v>
      </c>
      <c r="J40" s="10" t="n">
        <f aca="false">G40*H40*(1-I40)</f>
        <v>839.04</v>
      </c>
    </row>
    <row r="41" customFormat="false" ht="15" hidden="false" customHeight="false" outlineLevel="0" collapsed="false">
      <c r="A41" s="5" t="s">
        <v>120</v>
      </c>
      <c r="B41" s="7" t="n">
        <v>46247</v>
      </c>
      <c r="C41" s="5" t="s">
        <v>85</v>
      </c>
      <c r="D41" s="5" t="s">
        <v>88</v>
      </c>
      <c r="E41" s="5" t="s">
        <v>44</v>
      </c>
      <c r="F41" s="5" t="s">
        <v>49</v>
      </c>
      <c r="G41" s="5" t="n">
        <v>12</v>
      </c>
      <c r="H41" s="8" t="n">
        <v>26.35</v>
      </c>
      <c r="I41" s="9" t="n">
        <v>0.2</v>
      </c>
      <c r="J41" s="10" t="n">
        <f aca="false">G41*H41*(1-I41)</f>
        <v>252.96</v>
      </c>
    </row>
    <row r="42" customFormat="false" ht="15" hidden="false" customHeight="false" outlineLevel="0" collapsed="false">
      <c r="A42" s="5" t="s">
        <v>121</v>
      </c>
      <c r="B42" s="7" t="n">
        <v>46255</v>
      </c>
      <c r="C42" s="5" t="s">
        <v>92</v>
      </c>
      <c r="D42" s="5" t="s">
        <v>70</v>
      </c>
      <c r="E42" s="5" t="s">
        <v>37</v>
      </c>
      <c r="F42" s="5" t="s">
        <v>38</v>
      </c>
      <c r="G42" s="5" t="n">
        <v>12</v>
      </c>
      <c r="H42" s="8" t="n">
        <v>439.57</v>
      </c>
      <c r="I42" s="9" t="n">
        <v>0.1</v>
      </c>
      <c r="J42" s="10" t="n">
        <f aca="false">G42*H42*(1-I42)</f>
        <v>4747.356</v>
      </c>
    </row>
    <row r="43" customFormat="false" ht="15" hidden="false" customHeight="false" outlineLevel="0" collapsed="false">
      <c r="A43" s="5" t="s">
        <v>122</v>
      </c>
      <c r="B43" s="7" t="n">
        <v>46220</v>
      </c>
      <c r="C43" s="5" t="s">
        <v>85</v>
      </c>
      <c r="D43" s="5" t="s">
        <v>77</v>
      </c>
      <c r="E43" s="5" t="s">
        <v>37</v>
      </c>
      <c r="F43" s="5" t="s">
        <v>38</v>
      </c>
      <c r="G43" s="5" t="n">
        <v>9</v>
      </c>
      <c r="H43" s="8" t="n">
        <v>439.57</v>
      </c>
      <c r="I43" s="9" t="n">
        <v>0</v>
      </c>
      <c r="J43" s="10" t="n">
        <f aca="false">G43*H43*(1-I43)</f>
        <v>3956.13</v>
      </c>
    </row>
    <row r="44" customFormat="false" ht="15" hidden="false" customHeight="false" outlineLevel="0" collapsed="false">
      <c r="A44" s="5" t="s">
        <v>123</v>
      </c>
      <c r="B44" s="7" t="n">
        <v>46271</v>
      </c>
      <c r="C44" s="5" t="s">
        <v>92</v>
      </c>
      <c r="D44" s="5" t="s">
        <v>88</v>
      </c>
      <c r="E44" s="5" t="s">
        <v>37</v>
      </c>
      <c r="F44" s="5" t="s">
        <v>40</v>
      </c>
      <c r="G44" s="5" t="n">
        <v>5</v>
      </c>
      <c r="H44" s="8" t="n">
        <v>113.46</v>
      </c>
      <c r="I44" s="9" t="n">
        <v>0.2</v>
      </c>
      <c r="J44" s="10" t="n">
        <f aca="false">G44*H44*(1-I44)</f>
        <v>453.84</v>
      </c>
    </row>
    <row r="45" customFormat="false" ht="15" hidden="false" customHeight="false" outlineLevel="0" collapsed="false">
      <c r="A45" s="5" t="s">
        <v>124</v>
      </c>
      <c r="B45" s="7" t="n">
        <v>46268</v>
      </c>
      <c r="C45" s="5" t="s">
        <v>76</v>
      </c>
      <c r="D45" s="5" t="s">
        <v>88</v>
      </c>
      <c r="E45" s="5" t="s">
        <v>37</v>
      </c>
      <c r="F45" s="5" t="s">
        <v>40</v>
      </c>
      <c r="G45" s="5" t="n">
        <v>4</v>
      </c>
      <c r="H45" s="8" t="n">
        <v>113.46</v>
      </c>
      <c r="I45" s="9" t="n">
        <v>0.2</v>
      </c>
      <c r="J45" s="10" t="n">
        <f aca="false">G45*H45*(1-I45)</f>
        <v>363.072</v>
      </c>
    </row>
    <row r="46" customFormat="false" ht="15" hidden="false" customHeight="false" outlineLevel="0" collapsed="false">
      <c r="A46" s="5" t="s">
        <v>125</v>
      </c>
      <c r="B46" s="7" t="n">
        <v>46220</v>
      </c>
      <c r="C46" s="5" t="s">
        <v>76</v>
      </c>
      <c r="D46" s="5" t="s">
        <v>88</v>
      </c>
      <c r="E46" s="5" t="s">
        <v>53</v>
      </c>
      <c r="F46" s="5" t="s">
        <v>56</v>
      </c>
      <c r="G46" s="5" t="n">
        <v>6</v>
      </c>
      <c r="H46" s="8" t="n">
        <v>14.43</v>
      </c>
      <c r="I46" s="9" t="n">
        <v>0</v>
      </c>
      <c r="J46" s="10" t="n">
        <f aca="false">G46*H46*(1-I46)</f>
        <v>86.58</v>
      </c>
    </row>
    <row r="47" customFormat="false" ht="15" hidden="false" customHeight="false" outlineLevel="0" collapsed="false">
      <c r="A47" s="5" t="s">
        <v>126</v>
      </c>
      <c r="B47" s="7" t="n">
        <v>46277</v>
      </c>
      <c r="C47" s="5" t="s">
        <v>82</v>
      </c>
      <c r="D47" s="5" t="s">
        <v>70</v>
      </c>
      <c r="E47" s="5" t="s">
        <v>53</v>
      </c>
      <c r="F47" s="5" t="s">
        <v>54</v>
      </c>
      <c r="G47" s="5" t="n">
        <v>4</v>
      </c>
      <c r="H47" s="8" t="n">
        <v>5.47</v>
      </c>
      <c r="I47" s="9" t="n">
        <v>0.05</v>
      </c>
      <c r="J47" s="10" t="n">
        <f aca="false">G47*H47*(1-I47)</f>
        <v>20.786</v>
      </c>
    </row>
    <row r="48" customFormat="false" ht="15" hidden="false" customHeight="false" outlineLevel="0" collapsed="false">
      <c r="A48" s="5" t="s">
        <v>127</v>
      </c>
      <c r="B48" s="7" t="n">
        <v>46271</v>
      </c>
      <c r="C48" s="5" t="s">
        <v>87</v>
      </c>
      <c r="D48" s="5" t="s">
        <v>74</v>
      </c>
      <c r="E48" s="5" t="s">
        <v>44</v>
      </c>
      <c r="F48" s="5" t="s">
        <v>49</v>
      </c>
      <c r="G48" s="5" t="n">
        <v>7</v>
      </c>
      <c r="H48" s="8" t="n">
        <v>26.35</v>
      </c>
      <c r="I48" s="9" t="n">
        <v>0.15</v>
      </c>
      <c r="J48" s="10" t="n">
        <f aca="false">G48*H48*(1-I48)</f>
        <v>156.7825</v>
      </c>
    </row>
    <row r="49" customFormat="false" ht="15" hidden="false" customHeight="false" outlineLevel="0" collapsed="false">
      <c r="A49" s="5" t="s">
        <v>128</v>
      </c>
      <c r="B49" s="7" t="n">
        <v>46288</v>
      </c>
      <c r="C49" s="5" t="s">
        <v>92</v>
      </c>
      <c r="D49" s="5" t="s">
        <v>88</v>
      </c>
      <c r="E49" s="5" t="s">
        <v>53</v>
      </c>
      <c r="F49" s="5" t="s">
        <v>54</v>
      </c>
      <c r="G49" s="5" t="n">
        <v>11</v>
      </c>
      <c r="H49" s="8" t="n">
        <v>5.47</v>
      </c>
      <c r="I49" s="9" t="n">
        <v>0.15</v>
      </c>
      <c r="J49" s="10" t="n">
        <f aca="false">G49*H49*(1-I49)</f>
        <v>51.1445</v>
      </c>
    </row>
    <row r="50" customFormat="false" ht="15" hidden="false" customHeight="false" outlineLevel="0" collapsed="false">
      <c r="A50" s="5" t="s">
        <v>129</v>
      </c>
      <c r="B50" s="7" t="n">
        <v>46238</v>
      </c>
      <c r="C50" s="5" t="s">
        <v>92</v>
      </c>
      <c r="D50" s="5" t="s">
        <v>88</v>
      </c>
      <c r="E50" s="5" t="s">
        <v>44</v>
      </c>
      <c r="F50" s="5" t="s">
        <v>47</v>
      </c>
      <c r="G50" s="5" t="n">
        <v>3</v>
      </c>
      <c r="H50" s="8" t="n">
        <v>69.92</v>
      </c>
      <c r="I50" s="9" t="n">
        <v>0.2</v>
      </c>
      <c r="J50" s="10" t="n">
        <f aca="false">G50*H50*(1-I50)</f>
        <v>167.808</v>
      </c>
    </row>
    <row r="51" customFormat="false" ht="15" hidden="false" customHeight="false" outlineLevel="0" collapsed="false">
      <c r="A51" s="5" t="s">
        <v>130</v>
      </c>
      <c r="B51" s="7" t="n">
        <v>46253</v>
      </c>
      <c r="C51" s="5" t="s">
        <v>85</v>
      </c>
      <c r="D51" s="5" t="s">
        <v>74</v>
      </c>
      <c r="E51" s="5" t="s">
        <v>37</v>
      </c>
      <c r="F51" s="5" t="s">
        <v>40</v>
      </c>
      <c r="G51" s="5" t="n">
        <v>1</v>
      </c>
      <c r="H51" s="8" t="n">
        <v>113.46</v>
      </c>
      <c r="I51" s="9" t="n">
        <v>0</v>
      </c>
      <c r="J51" s="10" t="n">
        <f aca="false">G51*H51*(1-I51)</f>
        <v>113.46</v>
      </c>
    </row>
    <row r="52" customFormat="false" ht="15" hidden="false" customHeight="false" outlineLevel="0" collapsed="false">
      <c r="A52" s="5" t="s">
        <v>131</v>
      </c>
      <c r="B52" s="7" t="n">
        <v>46211</v>
      </c>
      <c r="C52" s="5" t="s">
        <v>85</v>
      </c>
      <c r="D52" s="5" t="s">
        <v>74</v>
      </c>
      <c r="E52" s="5" t="s">
        <v>53</v>
      </c>
      <c r="F52" s="5" t="s">
        <v>51</v>
      </c>
      <c r="G52" s="5" t="n">
        <v>11</v>
      </c>
      <c r="H52" s="8" t="n">
        <v>8.22</v>
      </c>
      <c r="I52" s="9" t="n">
        <v>0.05</v>
      </c>
      <c r="J52" s="10" t="n">
        <f aca="false">G52*H52*(1-I52)</f>
        <v>85.899</v>
      </c>
    </row>
    <row r="53" customFormat="false" ht="15" hidden="false" customHeight="false" outlineLevel="0" collapsed="false">
      <c r="A53" s="5" t="s">
        <v>132</v>
      </c>
      <c r="B53" s="7" t="n">
        <v>46208</v>
      </c>
      <c r="C53" s="5" t="s">
        <v>82</v>
      </c>
      <c r="D53" s="5" t="s">
        <v>88</v>
      </c>
      <c r="E53" s="5" t="s">
        <v>53</v>
      </c>
      <c r="F53" s="5" t="s">
        <v>56</v>
      </c>
      <c r="G53" s="5" t="n">
        <v>7</v>
      </c>
      <c r="H53" s="8" t="n">
        <v>14.43</v>
      </c>
      <c r="I53" s="9" t="n">
        <v>0</v>
      </c>
      <c r="J53" s="10" t="n">
        <f aca="false">G53*H53*(1-I53)</f>
        <v>101.01</v>
      </c>
    </row>
    <row r="54" customFormat="false" ht="15" hidden="false" customHeight="false" outlineLevel="0" collapsed="false">
      <c r="A54" s="5" t="s">
        <v>133</v>
      </c>
      <c r="B54" s="7" t="n">
        <v>46292</v>
      </c>
      <c r="C54" s="5" t="s">
        <v>73</v>
      </c>
      <c r="D54" s="5" t="s">
        <v>74</v>
      </c>
      <c r="E54" s="5" t="s">
        <v>53</v>
      </c>
      <c r="F54" s="5" t="s">
        <v>56</v>
      </c>
      <c r="G54" s="5" t="n">
        <v>8</v>
      </c>
      <c r="H54" s="8" t="n">
        <v>14.43</v>
      </c>
      <c r="I54" s="9" t="n">
        <v>0</v>
      </c>
      <c r="J54" s="10" t="n">
        <f aca="false">G54*H54*(1-I54)</f>
        <v>115.44</v>
      </c>
    </row>
    <row r="55" customFormat="false" ht="15" hidden="false" customHeight="false" outlineLevel="0" collapsed="false">
      <c r="A55" s="5" t="s">
        <v>134</v>
      </c>
      <c r="B55" s="7" t="n">
        <v>46211</v>
      </c>
      <c r="C55" s="5" t="s">
        <v>92</v>
      </c>
      <c r="D55" s="5" t="s">
        <v>70</v>
      </c>
      <c r="E55" s="5" t="s">
        <v>53</v>
      </c>
      <c r="F55" s="5" t="s">
        <v>56</v>
      </c>
      <c r="G55" s="5" t="n">
        <v>2</v>
      </c>
      <c r="H55" s="8" t="n">
        <v>14.43</v>
      </c>
      <c r="I55" s="9" t="n">
        <v>0</v>
      </c>
      <c r="J55" s="10" t="n">
        <f aca="false">G55*H55*(1-I55)</f>
        <v>28.86</v>
      </c>
    </row>
    <row r="56" customFormat="false" ht="15" hidden="false" customHeight="false" outlineLevel="0" collapsed="false">
      <c r="A56" s="5" t="s">
        <v>135</v>
      </c>
      <c r="B56" s="7" t="n">
        <v>46210</v>
      </c>
      <c r="C56" s="5" t="s">
        <v>82</v>
      </c>
      <c r="D56" s="5" t="s">
        <v>70</v>
      </c>
      <c r="E56" s="5" t="s">
        <v>37</v>
      </c>
      <c r="F56" s="5" t="s">
        <v>40</v>
      </c>
      <c r="G56" s="5" t="n">
        <v>11</v>
      </c>
      <c r="H56" s="8" t="n">
        <v>113.46</v>
      </c>
      <c r="I56" s="9" t="n">
        <v>0.2</v>
      </c>
      <c r="J56" s="10" t="n">
        <f aca="false">G56*H56*(1-I56)</f>
        <v>998.448</v>
      </c>
    </row>
    <row r="57" customFormat="false" ht="15" hidden="false" customHeight="false" outlineLevel="0" collapsed="false">
      <c r="A57" s="5" t="s">
        <v>136</v>
      </c>
      <c r="B57" s="7" t="n">
        <v>46236</v>
      </c>
      <c r="C57" s="5" t="s">
        <v>87</v>
      </c>
      <c r="D57" s="5" t="s">
        <v>88</v>
      </c>
      <c r="E57" s="5" t="s">
        <v>44</v>
      </c>
      <c r="F57" s="5" t="s">
        <v>45</v>
      </c>
      <c r="G57" s="5" t="n">
        <v>4</v>
      </c>
      <c r="H57" s="8" t="n">
        <v>14.4</v>
      </c>
      <c r="I57" s="9" t="n">
        <v>0.2</v>
      </c>
      <c r="J57" s="10" t="n">
        <f aca="false">G57*H57*(1-I57)</f>
        <v>46.08</v>
      </c>
    </row>
    <row r="58" customFormat="false" ht="15" hidden="false" customHeight="false" outlineLevel="0" collapsed="false">
      <c r="A58" s="5" t="s">
        <v>137</v>
      </c>
      <c r="B58" s="7" t="n">
        <v>46286</v>
      </c>
      <c r="C58" s="5" t="s">
        <v>69</v>
      </c>
      <c r="D58" s="5" t="s">
        <v>77</v>
      </c>
      <c r="E58" s="5" t="s">
        <v>53</v>
      </c>
      <c r="F58" s="5" t="s">
        <v>54</v>
      </c>
      <c r="G58" s="5" t="n">
        <v>10</v>
      </c>
      <c r="H58" s="8" t="n">
        <v>5.47</v>
      </c>
      <c r="I58" s="9" t="n">
        <v>0</v>
      </c>
      <c r="J58" s="10" t="n">
        <f aca="false">G58*H58*(1-I58)</f>
        <v>54.7</v>
      </c>
    </row>
    <row r="59" customFormat="false" ht="15" hidden="false" customHeight="false" outlineLevel="0" collapsed="false">
      <c r="A59" s="5" t="s">
        <v>138</v>
      </c>
      <c r="B59" s="7" t="n">
        <v>46271</v>
      </c>
      <c r="C59" s="5" t="s">
        <v>80</v>
      </c>
      <c r="D59" s="5" t="s">
        <v>74</v>
      </c>
      <c r="E59" s="5" t="s">
        <v>44</v>
      </c>
      <c r="F59" s="5" t="s">
        <v>45</v>
      </c>
      <c r="G59" s="5" t="n">
        <v>10</v>
      </c>
      <c r="H59" s="8" t="n">
        <v>14.4</v>
      </c>
      <c r="I59" s="9" t="n">
        <v>0.15</v>
      </c>
      <c r="J59" s="10" t="n">
        <f aca="false">G59*H59*(1-I59)</f>
        <v>122.4</v>
      </c>
    </row>
    <row r="60" customFormat="false" ht="15" hidden="false" customHeight="false" outlineLevel="0" collapsed="false">
      <c r="A60" s="5" t="s">
        <v>139</v>
      </c>
      <c r="B60" s="7" t="n">
        <v>46250</v>
      </c>
      <c r="C60" s="5" t="s">
        <v>80</v>
      </c>
      <c r="D60" s="5" t="s">
        <v>74</v>
      </c>
      <c r="E60" s="5" t="s">
        <v>37</v>
      </c>
      <c r="F60" s="5" t="s">
        <v>35</v>
      </c>
      <c r="G60" s="5" t="n">
        <v>4</v>
      </c>
      <c r="H60" s="8" t="n">
        <v>176.46</v>
      </c>
      <c r="I60" s="9" t="n">
        <v>0</v>
      </c>
      <c r="J60" s="10" t="n">
        <f aca="false">G60*H60*(1-I60)</f>
        <v>705.84</v>
      </c>
    </row>
    <row r="61" customFormat="false" ht="15" hidden="false" customHeight="false" outlineLevel="0" collapsed="false">
      <c r="A61" s="5" t="s">
        <v>140</v>
      </c>
      <c r="B61" s="7" t="n">
        <v>46292</v>
      </c>
      <c r="C61" s="5" t="s">
        <v>80</v>
      </c>
      <c r="D61" s="5" t="s">
        <v>70</v>
      </c>
      <c r="E61" s="5" t="s">
        <v>44</v>
      </c>
      <c r="F61" s="5" t="s">
        <v>47</v>
      </c>
      <c r="G61" s="5" t="n">
        <v>11</v>
      </c>
      <c r="H61" s="8" t="n">
        <v>69.92</v>
      </c>
      <c r="I61" s="9" t="n">
        <v>0</v>
      </c>
      <c r="J61" s="10" t="n">
        <f aca="false">G61*H61*(1-I61)</f>
        <v>769.12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72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2" t="s">
        <v>142</v>
      </c>
      <c r="B3" s="11" t="s">
        <v>47</v>
      </c>
    </row>
    <row r="5" customFormat="false" ht="15" hidden="false" customHeight="false" outlineLevel="0" collapsed="false">
      <c r="A5" s="4" t="s">
        <v>143</v>
      </c>
      <c r="B5" s="4" t="s">
        <v>144</v>
      </c>
      <c r="C5" s="4" t="s">
        <v>145</v>
      </c>
    </row>
    <row r="6" customFormat="false" ht="15" hidden="false" customHeight="false" outlineLevel="0" collapsed="false">
      <c r="A6" s="12" t="s">
        <v>146</v>
      </c>
      <c r="B6" s="13" t="s">
        <v>147</v>
      </c>
      <c r="C6" s="12" t="str">
        <f aca="false">VLOOKUP(B3,ProdTable,2,FALSE())</f>
        <v>Mechanical Keyboard</v>
      </c>
    </row>
    <row r="7" customFormat="false" ht="15" hidden="false" customHeight="false" outlineLevel="0" collapsed="false">
      <c r="A7" s="12" t="s">
        <v>148</v>
      </c>
      <c r="B7" s="13" t="s">
        <v>149</v>
      </c>
      <c r="C7" s="12" t="str">
        <f aca="false">VLOOKUP(B3,ProdTable,3,FALSE())</f>
        <v>Technology</v>
      </c>
    </row>
    <row r="8" customFormat="false" ht="15" hidden="false" customHeight="false" outlineLevel="0" collapsed="false">
      <c r="A8" s="12" t="s">
        <v>150</v>
      </c>
      <c r="B8" s="13" t="s">
        <v>151</v>
      </c>
      <c r="C8" s="12" t="n">
        <f aca="false">VLOOKUP(B3,ProdTable,4,FALSE())</f>
        <v>35</v>
      </c>
    </row>
    <row r="9" customFormat="false" ht="15" hidden="false" customHeight="false" outlineLevel="0" collapsed="false">
      <c r="A9" s="12" t="s">
        <v>152</v>
      </c>
      <c r="B9" s="13" t="s">
        <v>153</v>
      </c>
      <c r="C9" s="12" t="str">
        <f aca="false">INDEX(Products!$B$2:$B$11,MATCH(B3,ProdID,0))</f>
        <v>Mechanical Keyboard</v>
      </c>
    </row>
    <row r="10" customFormat="false" ht="15" hidden="false" customHeight="false" outlineLevel="0" collapsed="false">
      <c r="A10" s="12" t="s">
        <v>154</v>
      </c>
      <c r="B10" s="13" t="s">
        <v>155</v>
      </c>
      <c r="C10" s="12" t="str">
        <f aca="false">INDEX(Products!$A$2:$A$11,MATCH(9,Products!$D$2:$D$11,0))</f>
        <v>P202</v>
      </c>
    </row>
    <row r="11" customFormat="false" ht="15" hidden="false" customHeight="false" outlineLevel="0" collapsed="false">
      <c r="A11" s="12" t="s">
        <v>156</v>
      </c>
      <c r="B11" s="13" t="s">
        <v>157</v>
      </c>
      <c r="C11" s="14" t="s">
        <v>158</v>
      </c>
    </row>
    <row r="12" customFormat="false" ht="15" hidden="false" customHeight="false" outlineLevel="0" collapsed="false">
      <c r="A12" s="12" t="s">
        <v>159</v>
      </c>
      <c r="B12" s="13" t="s">
        <v>160</v>
      </c>
      <c r="C12" s="12" t="str">
        <f aca="false">IFERROR(VLOOKUP("P999",ProdTable,2,FALSE()),"Not found")</f>
        <v>Not found</v>
      </c>
    </row>
    <row r="15" customFormat="false" ht="15" hidden="false" customHeight="false" outlineLevel="0" collapsed="false">
      <c r="A15" s="2" t="s">
        <v>161</v>
      </c>
    </row>
    <row r="16" customFormat="false" ht="15" hidden="false" customHeight="false" outlineLevel="0" collapsed="false">
      <c r="A16" s="4" t="s">
        <v>162</v>
      </c>
      <c r="B16" s="4" t="s">
        <v>163</v>
      </c>
    </row>
    <row r="17" customFormat="false" ht="15" hidden="false" customHeight="false" outlineLevel="0" collapsed="false">
      <c r="A17" s="5" t="n">
        <v>0</v>
      </c>
      <c r="B17" s="5" t="s">
        <v>164</v>
      </c>
    </row>
    <row r="18" customFormat="false" ht="15" hidden="false" customHeight="false" outlineLevel="0" collapsed="false">
      <c r="A18" s="5" t="n">
        <v>500</v>
      </c>
      <c r="B18" s="5" t="s">
        <v>165</v>
      </c>
    </row>
    <row r="19" customFormat="false" ht="15" hidden="false" customHeight="false" outlineLevel="0" collapsed="false">
      <c r="A19" s="5" t="n">
        <v>1500</v>
      </c>
      <c r="B19" s="5" t="s">
        <v>166</v>
      </c>
    </row>
    <row r="20" customFormat="false" ht="15" hidden="false" customHeight="false" outlineLevel="0" collapsed="false">
      <c r="A20" s="5" t="n">
        <v>3000</v>
      </c>
      <c r="B20" s="5" t="s">
        <v>167</v>
      </c>
    </row>
    <row r="22" customFormat="false" ht="15" hidden="false" customHeight="false" outlineLevel="0" collapsed="false">
      <c r="A22" s="2" t="s">
        <v>168</v>
      </c>
      <c r="B22" s="11" t="n">
        <v>1820</v>
      </c>
    </row>
    <row r="23" customFormat="false" ht="15" hidden="false" customHeight="false" outlineLevel="0" collapsed="false">
      <c r="A23" s="3" t="s">
        <v>169</v>
      </c>
      <c r="B23" s="3" t="str">
        <f aca="false">VLOOKUP(B22,A17:B20,2,TRUE())</f>
        <v>Gold</v>
      </c>
    </row>
    <row r="24" customFormat="false" ht="15" hidden="false" customHeight="false" outlineLevel="0" collapsed="false">
      <c r="A24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171</v>
      </c>
    </row>
    <row r="3" customFormat="false" ht="31.5" hidden="false" customHeight="true" outlineLevel="0" collapsed="false">
      <c r="A3" s="4" t="s">
        <v>59</v>
      </c>
      <c r="B3" s="4" t="s">
        <v>66</v>
      </c>
      <c r="C3" s="4" t="s">
        <v>172</v>
      </c>
      <c r="D3" s="4" t="s">
        <v>173</v>
      </c>
      <c r="E3" s="4" t="s">
        <v>174</v>
      </c>
      <c r="F3" s="4" t="s">
        <v>175</v>
      </c>
      <c r="G3" s="4" t="s">
        <v>176</v>
      </c>
      <c r="H3" s="4" t="s">
        <v>177</v>
      </c>
    </row>
    <row r="4" customFormat="false" ht="15" hidden="false" customHeight="false" outlineLevel="0" collapsed="false">
      <c r="A4" s="12" t="str">
        <f aca="false">Data!A2</f>
        <v>ORD-1001</v>
      </c>
      <c r="B4" s="10" t="n">
        <f aca="false">Data!J2</f>
        <v>110.16</v>
      </c>
      <c r="C4" s="12" t="str">
        <f aca="false">IF(B4&gt;=1000,"High","Normal")</f>
        <v>Normal</v>
      </c>
      <c r="D4" s="12" t="str">
        <f aca="false">IF(B4&gt;=2000,"Large",IF(B4&gt;=1000,"Medium",IF(B4&gt;=500,"Small","Mini")))</f>
        <v>Mini</v>
      </c>
      <c r="E4" s="12" t="str">
        <f aca="false">IF(AND(Data!D2="West",B4&gt;=800),"Yes","No")</f>
        <v>No</v>
      </c>
      <c r="F4" s="12" t="str">
        <f aca="false">IF(OR(Data!E2="Furniture",Data!D2="North"),"Yes","No")</f>
        <v>No</v>
      </c>
      <c r="G4" s="12" t="n">
        <f aca="false">IFERROR(VLOOKUP(Data!F2,ProdTable,4,FALSE()),"Missing")</f>
        <v>9</v>
      </c>
      <c r="H4" s="10" t="n">
        <f aca="false">IFERROR(B4-Data!G2*G4,"n/a")</f>
        <v>29.16</v>
      </c>
    </row>
    <row r="5" customFormat="false" ht="15" hidden="false" customHeight="false" outlineLevel="0" collapsed="false">
      <c r="A5" s="12" t="str">
        <f aca="false">Data!A3</f>
        <v>ORD-1002</v>
      </c>
      <c r="B5" s="10" t="n">
        <f aca="false">Data!J3</f>
        <v>2923.1405</v>
      </c>
      <c r="C5" s="12" t="str">
        <f aca="false">IF(B5&gt;=1000,"High","Normal")</f>
        <v>High</v>
      </c>
      <c r="D5" s="12" t="str">
        <f aca="false">IF(B5&gt;=2000,"Large",IF(B5&gt;=1000,"Medium",IF(B5&gt;=500,"Small","Mini")))</f>
        <v>Large</v>
      </c>
      <c r="E5" s="12" t="str">
        <f aca="false">IF(AND(Data!D3="West",B5&gt;=800),"Yes","No")</f>
        <v>Yes</v>
      </c>
      <c r="F5" s="12" t="str">
        <f aca="false">IF(OR(Data!E3="Furniture",Data!D3="North"),"Yes","No")</f>
        <v>Yes</v>
      </c>
      <c r="G5" s="12" t="n">
        <f aca="false">IFERROR(VLOOKUP(Data!F3,ProdTable,4,FALSE()),"Missing")</f>
        <v>210</v>
      </c>
      <c r="H5" s="10" t="n">
        <f aca="false">IFERROR(B5-Data!G3*G5,"n/a")</f>
        <v>1453.1405</v>
      </c>
    </row>
    <row r="6" customFormat="false" ht="15" hidden="false" customHeight="false" outlineLevel="0" collapsed="false">
      <c r="A6" s="12" t="str">
        <f aca="false">Data!A4</f>
        <v>ORD-1003</v>
      </c>
      <c r="B6" s="10" t="n">
        <f aca="false">Data!J4</f>
        <v>2813.248</v>
      </c>
      <c r="C6" s="12" t="str">
        <f aca="false">IF(B6&gt;=1000,"High","Normal")</f>
        <v>High</v>
      </c>
      <c r="D6" s="12" t="str">
        <f aca="false">IF(B6&gt;=2000,"Large",IF(B6&gt;=1000,"Medium",IF(B6&gt;=500,"Small","Mini")))</f>
        <v>Large</v>
      </c>
      <c r="E6" s="12" t="str">
        <f aca="false">IF(AND(Data!D4="West",B6&gt;=800),"Yes","No")</f>
        <v>No</v>
      </c>
      <c r="F6" s="12" t="str">
        <f aca="false">IF(OR(Data!E4="Furniture",Data!D4="North"),"Yes","No")</f>
        <v>Yes</v>
      </c>
      <c r="G6" s="12" t="n">
        <f aca="false">IFERROR(VLOOKUP(Data!F4,ProdTable,4,FALSE()),"Missing")</f>
        <v>210</v>
      </c>
      <c r="H6" s="10" t="n">
        <f aca="false">IFERROR(B6-Data!G4*G6,"n/a")</f>
        <v>1133.248</v>
      </c>
    </row>
    <row r="7" customFormat="false" ht="15" hidden="false" customHeight="false" outlineLevel="0" collapsed="false">
      <c r="A7" s="12" t="str">
        <f aca="false">Data!A5</f>
        <v>ORD-1004</v>
      </c>
      <c r="B7" s="10" t="n">
        <f aca="false">Data!J5</f>
        <v>373.6345</v>
      </c>
      <c r="C7" s="12" t="str">
        <f aca="false">IF(B7&gt;=1000,"High","Normal")</f>
        <v>Normal</v>
      </c>
      <c r="D7" s="12" t="str">
        <f aca="false">IF(B7&gt;=2000,"Large",IF(B7&gt;=1000,"Medium",IF(B7&gt;=500,"Small","Mini")))</f>
        <v>Mini</v>
      </c>
      <c r="E7" s="12" t="str">
        <f aca="false">IF(AND(Data!D5="West",B7&gt;=800),"Yes","No")</f>
        <v>No</v>
      </c>
      <c r="F7" s="12" t="str">
        <f aca="false">IF(OR(Data!E5="Furniture",Data!D5="North"),"Yes","No")</f>
        <v>Yes</v>
      </c>
      <c r="G7" s="12" t="n">
        <f aca="false">IFERROR(VLOOKUP(Data!F5,ProdTable,4,FALSE()),"Missing")</f>
        <v>210</v>
      </c>
      <c r="H7" s="10" t="n">
        <f aca="false">IFERROR(B7-Data!G5*G7,"n/a")</f>
        <v>163.6345</v>
      </c>
    </row>
    <row r="8" customFormat="false" ht="15" hidden="false" customHeight="false" outlineLevel="0" collapsed="false">
      <c r="A8" s="12" t="str">
        <f aca="false">Data!A6</f>
        <v>ORD-1005</v>
      </c>
      <c r="B8" s="10" t="n">
        <f aca="false">Data!J6</f>
        <v>107.542</v>
      </c>
      <c r="C8" s="12" t="str">
        <f aca="false">IF(B8&gt;=1000,"High","Normal")</f>
        <v>Normal</v>
      </c>
      <c r="D8" s="12" t="str">
        <f aca="false">IF(B8&gt;=2000,"Large",IF(B8&gt;=1000,"Medium",IF(B8&gt;=500,"Small","Mini")))</f>
        <v>Mini</v>
      </c>
      <c r="E8" s="12" t="str">
        <f aca="false">IF(AND(Data!D6="West",B8&gt;=800),"Yes","No")</f>
        <v>No</v>
      </c>
      <c r="F8" s="12" t="str">
        <f aca="false">IF(OR(Data!E6="Furniture",Data!D6="North"),"Yes","No")</f>
        <v>No</v>
      </c>
      <c r="G8" s="12" t="n">
        <f aca="false">IFERROR(VLOOKUP(Data!F6,ProdTable,4,FALSE()),"Missing")</f>
        <v>18</v>
      </c>
      <c r="H8" s="10" t="n">
        <f aca="false">IFERROR(B8-Data!G6*G8,"n/a")</f>
        <v>35.542</v>
      </c>
    </row>
    <row r="9" customFormat="false" ht="15" hidden="false" customHeight="false" outlineLevel="0" collapsed="false">
      <c r="A9" s="12" t="str">
        <f aca="false">Data!A7</f>
        <v>ORD-1006</v>
      </c>
      <c r="B9" s="10" t="n">
        <f aca="false">Data!J7</f>
        <v>49.062</v>
      </c>
      <c r="C9" s="12" t="str">
        <f aca="false">IF(B9&gt;=1000,"High","Normal")</f>
        <v>Normal</v>
      </c>
      <c r="D9" s="12" t="str">
        <f aca="false">IF(B9&gt;=2000,"Large",IF(B9&gt;=1000,"Medium",IF(B9&gt;=500,"Small","Mini")))</f>
        <v>Mini</v>
      </c>
      <c r="E9" s="12" t="str">
        <f aca="false">IF(AND(Data!D7="West",B9&gt;=800),"Yes","No")</f>
        <v>No</v>
      </c>
      <c r="F9" s="12" t="str">
        <f aca="false">IF(OR(Data!E7="Furniture",Data!D7="North"),"Yes","No")</f>
        <v>No</v>
      </c>
      <c r="G9" s="12" t="n">
        <f aca="false">IFERROR(VLOOKUP(Data!F7,ProdTable,4,FALSE()),"Missing")</f>
        <v>7</v>
      </c>
      <c r="H9" s="10" t="n">
        <f aca="false">IFERROR(B9-Data!G7*G9,"n/a")</f>
        <v>21.062</v>
      </c>
    </row>
    <row r="10" customFormat="false" ht="15" hidden="false" customHeight="false" outlineLevel="0" collapsed="false">
      <c r="A10" s="12" t="str">
        <f aca="false">Data!A8</f>
        <v>ORD-1007</v>
      </c>
      <c r="B10" s="10" t="n">
        <f aca="false">Data!J8</f>
        <v>44.795</v>
      </c>
      <c r="C10" s="12" t="str">
        <f aca="false">IF(B10&gt;=1000,"High","Normal")</f>
        <v>Normal</v>
      </c>
      <c r="D10" s="12" t="str">
        <f aca="false">IF(B10&gt;=2000,"Large",IF(B10&gt;=1000,"Medium",IF(B10&gt;=500,"Small","Mini")))</f>
        <v>Mini</v>
      </c>
      <c r="E10" s="12" t="str">
        <f aca="false">IF(AND(Data!D8="West",B10&gt;=800),"Yes","No")</f>
        <v>No</v>
      </c>
      <c r="F10" s="12" t="str">
        <f aca="false">IF(OR(Data!E8="Furniture",Data!D8="North"),"Yes","No")</f>
        <v>No</v>
      </c>
      <c r="G10" s="12" t="n">
        <f aca="false">IFERROR(VLOOKUP(Data!F8,ProdTable,4,FALSE()),"Missing")</f>
        <v>14</v>
      </c>
      <c r="H10" s="10" t="n">
        <f aca="false">IFERROR(B10-Data!G8*G10,"n/a")</f>
        <v>16.795</v>
      </c>
    </row>
    <row r="11" customFormat="false" ht="15" hidden="false" customHeight="false" outlineLevel="0" collapsed="false">
      <c r="A11" s="12" t="str">
        <f aca="false">Data!A9</f>
        <v>ORD-1008</v>
      </c>
      <c r="B11" s="10" t="n">
        <f aca="false">Data!J9</f>
        <v>21.88</v>
      </c>
      <c r="C11" s="12" t="str">
        <f aca="false">IF(B11&gt;=1000,"High","Normal")</f>
        <v>Normal</v>
      </c>
      <c r="D11" s="12" t="str">
        <f aca="false">IF(B11&gt;=2000,"Large",IF(B11&gt;=1000,"Medium",IF(B11&gt;=500,"Small","Mini")))</f>
        <v>Mini</v>
      </c>
      <c r="E11" s="12" t="str">
        <f aca="false">IF(AND(Data!D9="West",B11&gt;=800),"Yes","No")</f>
        <v>No</v>
      </c>
      <c r="F11" s="12" t="str">
        <f aca="false">IF(OR(Data!E9="Furniture",Data!D9="North"),"Yes","No")</f>
        <v>No</v>
      </c>
      <c r="G11" s="12" t="n">
        <f aca="false">IFERROR(VLOOKUP(Data!F9,ProdTable,4,FALSE()),"Missing")</f>
        <v>3</v>
      </c>
      <c r="H11" s="10" t="n">
        <f aca="false">IFERROR(B11-Data!G9*G11,"n/a")</f>
        <v>6.88</v>
      </c>
    </row>
    <row r="12" customFormat="false" ht="15" hidden="false" customHeight="false" outlineLevel="0" collapsed="false">
      <c r="A12" s="12" t="str">
        <f aca="false">Data!A10</f>
        <v>ORD-1009</v>
      </c>
      <c r="B12" s="10" t="n">
        <f aca="false">Data!J10</f>
        <v>80.6565</v>
      </c>
      <c r="C12" s="12" t="str">
        <f aca="false">IF(B12&gt;=1000,"High","Normal")</f>
        <v>Normal</v>
      </c>
      <c r="D12" s="12" t="str">
        <f aca="false">IF(B12&gt;=2000,"Large",IF(B12&gt;=1000,"Medium",IF(B12&gt;=500,"Small","Mini")))</f>
        <v>Mini</v>
      </c>
      <c r="E12" s="12" t="str">
        <f aca="false">IF(AND(Data!D10="West",B12&gt;=800),"Yes","No")</f>
        <v>No</v>
      </c>
      <c r="F12" s="12" t="str">
        <f aca="false">IF(OR(Data!E10="Furniture",Data!D10="North"),"Yes","No")</f>
        <v>Yes</v>
      </c>
      <c r="G12" s="12" t="n">
        <f aca="false">IFERROR(VLOOKUP(Data!F10,ProdTable,4,FALSE()),"Missing")</f>
        <v>18</v>
      </c>
      <c r="H12" s="10" t="n">
        <f aca="false">IFERROR(B12-Data!G10*G12,"n/a")</f>
        <v>26.6565</v>
      </c>
    </row>
    <row r="13" customFormat="false" ht="15" hidden="false" customHeight="false" outlineLevel="0" collapsed="false">
      <c r="A13" s="12" t="str">
        <f aca="false">Data!A11</f>
        <v>ORD-1010</v>
      </c>
      <c r="B13" s="10" t="n">
        <f aca="false">Data!J11</f>
        <v>94.89</v>
      </c>
      <c r="C13" s="12" t="str">
        <f aca="false">IF(B13&gt;=1000,"High","Normal")</f>
        <v>Normal</v>
      </c>
      <c r="D13" s="12" t="str">
        <f aca="false">IF(B13&gt;=2000,"Large",IF(B13&gt;=1000,"Medium",IF(B13&gt;=500,"Small","Mini")))</f>
        <v>Mini</v>
      </c>
      <c r="E13" s="12" t="str">
        <f aca="false">IF(AND(Data!D11="West",B13&gt;=800),"Yes","No")</f>
        <v>No</v>
      </c>
      <c r="F13" s="12" t="str">
        <f aca="false">IF(OR(Data!E11="Furniture",Data!D11="North"),"Yes","No")</f>
        <v>Yes</v>
      </c>
      <c r="G13" s="12" t="n">
        <f aca="false">IFERROR(VLOOKUP(Data!F11,ProdTable,4,FALSE()),"Missing")</f>
        <v>18</v>
      </c>
      <c r="H13" s="10" t="n">
        <f aca="false">IFERROR(B13-Data!G11*G13,"n/a")</f>
        <v>40.89</v>
      </c>
    </row>
    <row r="14" customFormat="false" ht="15" hidden="false" customHeight="false" outlineLevel="0" collapsed="false">
      <c r="A14" s="12" t="str">
        <f aca="false">Data!A12</f>
        <v>ORD-1011</v>
      </c>
      <c r="B14" s="10" t="n">
        <f aca="false">Data!J12</f>
        <v>416.024</v>
      </c>
      <c r="C14" s="12" t="str">
        <f aca="false">IF(B14&gt;=1000,"High","Normal")</f>
        <v>Normal</v>
      </c>
      <c r="D14" s="12" t="str">
        <f aca="false">IF(B14&gt;=2000,"Large",IF(B14&gt;=1000,"Medium",IF(B14&gt;=500,"Small","Mini")))</f>
        <v>Mini</v>
      </c>
      <c r="E14" s="12" t="str">
        <f aca="false">IF(AND(Data!D12="West",B14&gt;=800),"Yes","No")</f>
        <v>No</v>
      </c>
      <c r="F14" s="12" t="str">
        <f aca="false">IF(OR(Data!E12="Furniture",Data!D12="North"),"Yes","No")</f>
        <v>No</v>
      </c>
      <c r="G14" s="12" t="n">
        <f aca="false">IFERROR(VLOOKUP(Data!F12,ProdTable,4,FALSE()),"Missing")</f>
        <v>35</v>
      </c>
      <c r="H14" s="10" t="n">
        <f aca="false">IFERROR(B14-Data!G12*G14,"n/a")</f>
        <v>171.024</v>
      </c>
    </row>
    <row r="15" customFormat="false" ht="15" hidden="false" customHeight="false" outlineLevel="0" collapsed="false">
      <c r="A15" s="12" t="str">
        <f aca="false">Data!A13</f>
        <v>ORD-1012</v>
      </c>
      <c r="B15" s="10" t="n">
        <f aca="false">Data!J13</f>
        <v>26.35</v>
      </c>
      <c r="C15" s="12" t="str">
        <f aca="false">IF(B15&gt;=1000,"High","Normal")</f>
        <v>Normal</v>
      </c>
      <c r="D15" s="12" t="str">
        <f aca="false">IF(B15&gt;=2000,"Large",IF(B15&gt;=1000,"Medium",IF(B15&gt;=500,"Small","Mini")))</f>
        <v>Mini</v>
      </c>
      <c r="E15" s="12" t="str">
        <f aca="false">IF(AND(Data!D13="West",B15&gt;=800),"Yes","No")</f>
        <v>No</v>
      </c>
      <c r="F15" s="12" t="str">
        <f aca="false">IF(OR(Data!E13="Furniture",Data!D13="North"),"Yes","No")</f>
        <v>No</v>
      </c>
      <c r="G15" s="12" t="n">
        <f aca="false">IFERROR(VLOOKUP(Data!F13,ProdTable,4,FALSE()),"Missing")</f>
        <v>14</v>
      </c>
      <c r="H15" s="10" t="n">
        <f aca="false">IFERROR(B15-Data!G13*G15,"n/a")</f>
        <v>12.35</v>
      </c>
    </row>
    <row r="16" customFormat="false" ht="15" hidden="false" customHeight="false" outlineLevel="0" collapsed="false">
      <c r="A16" s="12" t="str">
        <f aca="false">Data!A14</f>
        <v>ORD-1013</v>
      </c>
      <c r="B16" s="10" t="n">
        <f aca="false">Data!J14</f>
        <v>210.8</v>
      </c>
      <c r="C16" s="12" t="str">
        <f aca="false">IF(B16&gt;=1000,"High","Normal")</f>
        <v>Normal</v>
      </c>
      <c r="D16" s="12" t="str">
        <f aca="false">IF(B16&gt;=2000,"Large",IF(B16&gt;=1000,"Medium",IF(B16&gt;=500,"Small","Mini")))</f>
        <v>Mini</v>
      </c>
      <c r="E16" s="12" t="str">
        <f aca="false">IF(AND(Data!D14="West",B16&gt;=800),"Yes","No")</f>
        <v>No</v>
      </c>
      <c r="F16" s="12" t="str">
        <f aca="false">IF(OR(Data!E14="Furniture",Data!D14="North"),"Yes","No")</f>
        <v>No</v>
      </c>
      <c r="G16" s="12" t="n">
        <f aca="false">IFERROR(VLOOKUP(Data!F14,ProdTable,4,FALSE()),"Missing")</f>
        <v>14</v>
      </c>
      <c r="H16" s="10" t="n">
        <f aca="false">IFERROR(B16-Data!G14*G16,"n/a")</f>
        <v>98.8</v>
      </c>
    </row>
    <row r="17" customFormat="false" ht="15" hidden="false" customHeight="false" outlineLevel="0" collapsed="false">
      <c r="A17" s="12" t="str">
        <f aca="false">Data!A15</f>
        <v>ORD-1014</v>
      </c>
      <c r="B17" s="10" t="n">
        <f aca="false">Data!J15</f>
        <v>3076.99</v>
      </c>
      <c r="C17" s="12" t="str">
        <f aca="false">IF(B17&gt;=1000,"High","Normal")</f>
        <v>High</v>
      </c>
      <c r="D17" s="12" t="str">
        <f aca="false">IF(B17&gt;=2000,"Large",IF(B17&gt;=1000,"Medium",IF(B17&gt;=500,"Small","Mini")))</f>
        <v>Large</v>
      </c>
      <c r="E17" s="12" t="str">
        <f aca="false">IF(AND(Data!D15="West",B17&gt;=800),"Yes","No")</f>
        <v>No</v>
      </c>
      <c r="F17" s="12" t="str">
        <f aca="false">IF(OR(Data!E15="Furniture",Data!D15="North"),"Yes","No")</f>
        <v>Yes</v>
      </c>
      <c r="G17" s="12" t="n">
        <f aca="false">IFERROR(VLOOKUP(Data!F15,ProdTable,4,FALSE()),"Missing")</f>
        <v>210</v>
      </c>
      <c r="H17" s="10" t="n">
        <f aca="false">IFERROR(B17-Data!G15*G17,"n/a")</f>
        <v>1606.99</v>
      </c>
    </row>
    <row r="18" customFormat="false" ht="15" hidden="false" customHeight="false" outlineLevel="0" collapsed="false">
      <c r="A18" s="12" t="str">
        <f aca="false">Data!A16</f>
        <v>ORD-1015</v>
      </c>
      <c r="B18" s="10" t="n">
        <f aca="false">Data!J16</f>
        <v>59.076</v>
      </c>
      <c r="C18" s="12" t="str">
        <f aca="false">IF(B18&gt;=1000,"High","Normal")</f>
        <v>Normal</v>
      </c>
      <c r="D18" s="12" t="str">
        <f aca="false">IF(B18&gt;=2000,"Large",IF(B18&gt;=1000,"Medium",IF(B18&gt;=500,"Small","Mini")))</f>
        <v>Mini</v>
      </c>
      <c r="E18" s="12" t="str">
        <f aca="false">IF(AND(Data!D16="West",B18&gt;=800),"Yes","No")</f>
        <v>No</v>
      </c>
      <c r="F18" s="12" t="str">
        <f aca="false">IF(OR(Data!E16="Furniture",Data!D16="North"),"Yes","No")</f>
        <v>No</v>
      </c>
      <c r="G18" s="12" t="n">
        <f aca="false">IFERROR(VLOOKUP(Data!F16,ProdTable,4,FALSE()),"Missing")</f>
        <v>3</v>
      </c>
      <c r="H18" s="10" t="n">
        <f aca="false">IFERROR(B18-Data!G16*G18,"n/a")</f>
        <v>23.076</v>
      </c>
    </row>
    <row r="20" customFormat="false" ht="15" hidden="false" customHeight="false" outlineLevel="0" collapsed="false">
      <c r="A20" s="6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179</v>
      </c>
    </row>
    <row r="3" customFormat="false" ht="15" hidden="false" customHeight="false" outlineLevel="0" collapsed="false">
      <c r="A3" s="2" t="s">
        <v>180</v>
      </c>
      <c r="B3" s="11" t="s">
        <v>74</v>
      </c>
    </row>
    <row r="4" customFormat="false" ht="15" hidden="false" customHeight="false" outlineLevel="0" collapsed="false">
      <c r="A4" s="2" t="s">
        <v>181</v>
      </c>
      <c r="B4" s="11" t="s">
        <v>44</v>
      </c>
    </row>
    <row r="5" customFormat="false" ht="15" hidden="false" customHeight="false" outlineLevel="0" collapsed="false">
      <c r="A5" s="2" t="s">
        <v>182</v>
      </c>
      <c r="B5" s="11" t="n">
        <v>5</v>
      </c>
    </row>
    <row r="7" customFormat="false" ht="15" hidden="false" customHeight="false" outlineLevel="0" collapsed="false">
      <c r="A7" s="4" t="s">
        <v>183</v>
      </c>
      <c r="B7" s="4" t="s">
        <v>184</v>
      </c>
      <c r="C7" s="4" t="s">
        <v>145</v>
      </c>
    </row>
    <row r="8" customFormat="false" ht="15" hidden="false" customHeight="false" outlineLevel="0" collapsed="false">
      <c r="A8" s="12" t="s">
        <v>185</v>
      </c>
      <c r="B8" s="15" t="s">
        <v>186</v>
      </c>
      <c r="C8" s="10" t="n">
        <f aca="false">SUMIF(Region,B3,Sales)</f>
        <v>7079.9965</v>
      </c>
    </row>
    <row r="9" customFormat="false" ht="15" hidden="false" customHeight="false" outlineLevel="0" collapsed="false">
      <c r="A9" s="12" t="s">
        <v>187</v>
      </c>
      <c r="B9" s="15" t="s">
        <v>188</v>
      </c>
      <c r="C9" s="10" t="n">
        <f aca="false">SUMIFS(Sales,Region,B3,Category,B4)</f>
        <v>2280.3775</v>
      </c>
    </row>
    <row r="10" customFormat="false" ht="15" hidden="false" customHeight="false" outlineLevel="0" collapsed="false">
      <c r="A10" s="12" t="s">
        <v>189</v>
      </c>
      <c r="B10" s="15" t="s">
        <v>190</v>
      </c>
      <c r="C10" s="10" t="n">
        <f aca="false">SUMIFS(Sales,Region,B3,Category,B4,Qty,"&gt;="&amp;B5)</f>
        <v>2235.5825</v>
      </c>
    </row>
    <row r="11" customFormat="false" ht="15" hidden="false" customHeight="false" outlineLevel="0" collapsed="false">
      <c r="A11" s="12" t="s">
        <v>191</v>
      </c>
      <c r="B11" s="15" t="s">
        <v>192</v>
      </c>
      <c r="C11" s="16" t="n">
        <f aca="false">COUNTIF(Region,B3)</f>
        <v>15</v>
      </c>
    </row>
    <row r="12" customFormat="false" ht="15" hidden="false" customHeight="false" outlineLevel="0" collapsed="false">
      <c r="A12" s="12" t="s">
        <v>193</v>
      </c>
      <c r="B12" s="15" t="s">
        <v>194</v>
      </c>
      <c r="C12" s="16" t="n">
        <f aca="false">COUNTIFS(Region,B3,Category,B4)</f>
        <v>8</v>
      </c>
    </row>
    <row r="13" customFormat="false" ht="15" hidden="false" customHeight="false" outlineLevel="0" collapsed="false">
      <c r="A13" s="12" t="s">
        <v>195</v>
      </c>
      <c r="B13" s="15" t="s">
        <v>196</v>
      </c>
      <c r="C13" s="10" t="n">
        <f aca="false">IFERROR(AVERAGEIFS(Sales,Region,B3,Category,B4),0)</f>
        <v>285.0471875</v>
      </c>
    </row>
    <row r="14" customFormat="false" ht="15" hidden="false" customHeight="false" outlineLevel="0" collapsed="false">
      <c r="A14" s="12" t="s">
        <v>197</v>
      </c>
      <c r="B14" s="15" t="s">
        <v>198</v>
      </c>
      <c r="C14" s="16" t="n">
        <f aca="false">COUNTIF(Qty,"&gt;8")</f>
        <v>19</v>
      </c>
    </row>
    <row r="15" customFormat="false" ht="15" hidden="false" customHeight="false" outlineLevel="0" collapsed="false">
      <c r="A15" s="12" t="s">
        <v>199</v>
      </c>
      <c r="B15" s="15" t="s">
        <v>200</v>
      </c>
      <c r="C15" s="10" t="n">
        <f aca="false">SUMIFS(Sales,OrderDate,"&gt;="&amp;DATE(2026,7,1),OrderDate,"&lt;"&amp;DATE(2026,8,1))</f>
        <v>16903.599</v>
      </c>
    </row>
    <row r="16" customFormat="false" ht="15" hidden="false" customHeight="false" outlineLevel="0" collapsed="false">
      <c r="A16" s="12" t="s">
        <v>201</v>
      </c>
      <c r="B16" s="15" t="s">
        <v>202</v>
      </c>
      <c r="C16" s="16" t="n">
        <f aca="false">COUNTIF(Customer,"A*")</f>
        <v>17</v>
      </c>
    </row>
    <row r="17" customFormat="false" ht="15" hidden="false" customHeight="false" outlineLevel="0" collapsed="false">
      <c r="A17" s="12" t="s">
        <v>203</v>
      </c>
      <c r="B17" s="15" t="s">
        <v>204</v>
      </c>
      <c r="C17" s="10" t="n">
        <f aca="false">SUM(Sales)</f>
        <v>49889.933</v>
      </c>
    </row>
    <row r="19" customFormat="false" ht="15" hidden="false" customHeight="false" outlineLevel="0" collapsed="false">
      <c r="A19" s="2" t="s">
        <v>205</v>
      </c>
    </row>
    <row r="20" customFormat="false" ht="15" hidden="false" customHeight="false" outlineLevel="0" collapsed="false">
      <c r="A20" s="4" t="s">
        <v>62</v>
      </c>
      <c r="B20" s="4" t="s">
        <v>206</v>
      </c>
      <c r="C20" s="4" t="s">
        <v>207</v>
      </c>
      <c r="D20" s="4" t="s">
        <v>208</v>
      </c>
    </row>
    <row r="21" customFormat="false" ht="15" hidden="false" customHeight="false" outlineLevel="0" collapsed="false">
      <c r="A21" s="5" t="s">
        <v>74</v>
      </c>
      <c r="B21" s="10" t="n">
        <f aca="false">SUMIFS(Sales,Region,A21)</f>
        <v>7079.9965</v>
      </c>
      <c r="C21" s="12" t="n">
        <f aca="false">COUNTIFS(Region,A21)</f>
        <v>15</v>
      </c>
      <c r="D21" s="10" t="n">
        <f aca="false">IFERROR(B21/C21,0)</f>
        <v>471.999766666667</v>
      </c>
    </row>
    <row r="22" customFormat="false" ht="15" hidden="false" customHeight="false" outlineLevel="0" collapsed="false">
      <c r="A22" s="5" t="s">
        <v>88</v>
      </c>
      <c r="B22" s="10" t="n">
        <f aca="false">SUMIFS(Sales,Region,A22)</f>
        <v>11270.0385</v>
      </c>
      <c r="C22" s="12" t="n">
        <f aca="false">COUNTIFS(Region,A22)</f>
        <v>15</v>
      </c>
      <c r="D22" s="10" t="n">
        <f aca="false">IFERROR(B22/C22,0)</f>
        <v>751.3359</v>
      </c>
    </row>
    <row r="23" customFormat="false" ht="15" hidden="false" customHeight="false" outlineLevel="0" collapsed="false">
      <c r="A23" s="5" t="s">
        <v>77</v>
      </c>
      <c r="B23" s="10" t="n">
        <f aca="false">SUMIFS(Sales,Region,A23)</f>
        <v>14630.087</v>
      </c>
      <c r="C23" s="12" t="n">
        <f aca="false">COUNTIFS(Region,A23)</f>
        <v>13</v>
      </c>
      <c r="D23" s="10" t="n">
        <f aca="false">IFERROR(B23/C23,0)</f>
        <v>1125.39130769231</v>
      </c>
    </row>
    <row r="24" customFormat="false" ht="15" hidden="false" customHeight="false" outlineLevel="0" collapsed="false">
      <c r="A24" s="5" t="s">
        <v>70</v>
      </c>
      <c r="B24" s="10" t="n">
        <f aca="false">SUMIFS(Sales,Region,A24)</f>
        <v>16909.811</v>
      </c>
      <c r="C24" s="12" t="n">
        <f aca="false">COUNTIFS(Region,A24)</f>
        <v>17</v>
      </c>
      <c r="D24" s="10" t="n">
        <f aca="false">IFERROR(B24/C24,0)</f>
        <v>994.694764705882</v>
      </c>
    </row>
    <row r="25" customFormat="false" ht="15" hidden="false" customHeight="false" outlineLevel="0" collapsed="false">
      <c r="A25" s="2" t="s">
        <v>209</v>
      </c>
      <c r="B25" s="17" t="n">
        <f aca="false">SUM(B21:B24)</f>
        <v>49889.933</v>
      </c>
      <c r="C25" s="18" t="n">
        <f aca="false">SUM(C21:C24)</f>
        <v>60</v>
      </c>
      <c r="D25" s="17" t="n">
        <f aca="false">IFERROR(B25/C25,0)</f>
        <v>831.498883333333</v>
      </c>
    </row>
    <row r="26" customFormat="false" ht="15" hidden="false" customHeight="false" outlineLevel="0" collapsed="false">
      <c r="A26" s="6" t="s">
        <v>210</v>
      </c>
      <c r="C26" s="2" t="str">
        <f aca="false">IF(ROUND(B25-SUM(Sales),2)=0,"OK","MISMATCH")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6" min="3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24"/>
  </cols>
  <sheetData>
    <row r="1" customFormat="false" ht="17.35" hidden="false" customHeight="false" outlineLevel="0" collapsed="false">
      <c r="A1" s="1" t="s">
        <v>211</v>
      </c>
    </row>
    <row r="3" customFormat="false" ht="31.5" hidden="false" customHeight="true" outlineLevel="0" collapsed="false">
      <c r="A3" s="4" t="s">
        <v>212</v>
      </c>
      <c r="B3" s="4" t="s">
        <v>213</v>
      </c>
      <c r="C3" s="4" t="s">
        <v>214</v>
      </c>
      <c r="D3" s="4" t="s">
        <v>215</v>
      </c>
      <c r="E3" s="4" t="s">
        <v>216</v>
      </c>
      <c r="F3" s="4" t="s">
        <v>217</v>
      </c>
      <c r="G3" s="4" t="s">
        <v>218</v>
      </c>
      <c r="H3" s="4" t="s">
        <v>219</v>
      </c>
      <c r="I3" s="4" t="s">
        <v>220</v>
      </c>
      <c r="J3" s="4" t="s">
        <v>221</v>
      </c>
      <c r="K3" s="4" t="s">
        <v>222</v>
      </c>
      <c r="L3" s="4" t="s">
        <v>223</v>
      </c>
      <c r="M3" s="4" t="s">
        <v>224</v>
      </c>
    </row>
    <row r="4" customFormat="false" ht="15" hidden="false" customHeight="false" outlineLevel="0" collapsed="false">
      <c r="A4" s="5" t="s">
        <v>225</v>
      </c>
      <c r="B4" s="12" t="n">
        <f aca="false">LEN(A4)</f>
        <v>11</v>
      </c>
      <c r="C4" s="12" t="str">
        <f aca="false">TRIM(A4)</f>
        <v>ord-1001</v>
      </c>
      <c r="D4" s="12" t="str">
        <f aca="false">UPPER(A4)</f>
        <v>  ORD-1001 </v>
      </c>
      <c r="E4" s="12" t="str">
        <f aca="false">LOWER(A4)</f>
        <v>  ord-1001 </v>
      </c>
      <c r="F4" s="12" t="str">
        <f aca="false">PROPER(A4)</f>
        <v>  Ord-1001 </v>
      </c>
      <c r="G4" s="12" t="str">
        <f aca="false">LEFT(TRIM(A4),3)</f>
        <v>ord</v>
      </c>
      <c r="H4" s="12" t="str">
        <f aca="false">RIGHT(TRIM(A4),4)</f>
        <v>1001</v>
      </c>
      <c r="I4" s="12" t="str">
        <f aca="false">MID(TRIM(A4),5,3)</f>
        <v>100</v>
      </c>
      <c r="J4" s="12" t="str">
        <f aca="false">SUBSTITUTE(TRIM(A4),"-","/")</f>
        <v>ord/1001</v>
      </c>
      <c r="K4" s="12" t="n">
        <f aca="false">FIND("-",TRIM(A4))</f>
        <v>4</v>
      </c>
      <c r="L4" s="12" t="str">
        <f aca="false">UPPER(TRIM(A4))</f>
        <v>ORD-1001</v>
      </c>
      <c r="M4" s="12" t="str">
        <f aca="false">Data!C2&amp;" – "&amp;Data!D2</f>
        <v>Isha Desai – East</v>
      </c>
    </row>
    <row r="5" customFormat="false" ht="15" hidden="false" customHeight="false" outlineLevel="0" collapsed="false">
      <c r="A5" s="5" t="s">
        <v>72</v>
      </c>
      <c r="B5" s="12" t="n">
        <f aca="false">LEN(A5)</f>
        <v>8</v>
      </c>
      <c r="C5" s="12" t="str">
        <f aca="false">TRIM(A5)</f>
        <v>ORD-1002</v>
      </c>
      <c r="D5" s="12" t="str">
        <f aca="false">UPPER(A5)</f>
        <v>ORD-1002</v>
      </c>
      <c r="E5" s="12" t="str">
        <f aca="false">LOWER(A5)</f>
        <v>ord-1002</v>
      </c>
      <c r="F5" s="12" t="str">
        <f aca="false">PROPER(A5)</f>
        <v>Ord-1002</v>
      </c>
      <c r="G5" s="12" t="str">
        <f aca="false">LEFT(TRIM(A5),3)</f>
        <v>ORD</v>
      </c>
      <c r="H5" s="12" t="str">
        <f aca="false">RIGHT(TRIM(A5),4)</f>
        <v>1002</v>
      </c>
      <c r="I5" s="12" t="str">
        <f aca="false">MID(TRIM(A5),5,3)</f>
        <v>100</v>
      </c>
      <c r="J5" s="12" t="str">
        <f aca="false">SUBSTITUTE(TRIM(A5),"-","/")</f>
        <v>ORD/1002</v>
      </c>
      <c r="K5" s="12" t="n">
        <f aca="false">FIND("-",TRIM(A5))</f>
        <v>4</v>
      </c>
      <c r="L5" s="12" t="str">
        <f aca="false">UPPER(TRIM(A5))</f>
        <v>ORD-1002</v>
      </c>
      <c r="M5" s="12" t="str">
        <f aca="false">Data!C3&amp;" – "&amp;Data!D3</f>
        <v>Kabir Joshi – West</v>
      </c>
    </row>
    <row r="6" customFormat="false" ht="15" hidden="false" customHeight="false" outlineLevel="0" collapsed="false">
      <c r="A6" s="5" t="s">
        <v>226</v>
      </c>
      <c r="B6" s="12" t="n">
        <f aca="false">LEN(A6)</f>
        <v>10</v>
      </c>
      <c r="C6" s="12" t="str">
        <f aca="false">TRIM(A6)</f>
        <v>ord-1003</v>
      </c>
      <c r="D6" s="12" t="str">
        <f aca="false">UPPER(A6)</f>
        <v>ORD-1003  </v>
      </c>
      <c r="E6" s="12" t="str">
        <f aca="false">LOWER(A6)</f>
        <v>ord-1003  </v>
      </c>
      <c r="F6" s="12" t="str">
        <f aca="false">PROPER(A6)</f>
        <v>Ord-1003  </v>
      </c>
      <c r="G6" s="12" t="str">
        <f aca="false">LEFT(TRIM(A6),3)</f>
        <v>ord</v>
      </c>
      <c r="H6" s="12" t="str">
        <f aca="false">RIGHT(TRIM(A6),4)</f>
        <v>1003</v>
      </c>
      <c r="I6" s="12" t="str">
        <f aca="false">MID(TRIM(A6),5,3)</f>
        <v>100</v>
      </c>
      <c r="J6" s="12" t="str">
        <f aca="false">SUBSTITUTE(TRIM(A6),"-","/")</f>
        <v>ord/1003</v>
      </c>
      <c r="K6" s="12" t="n">
        <f aca="false">FIND("-",TRIM(A6))</f>
        <v>4</v>
      </c>
      <c r="L6" s="12" t="str">
        <f aca="false">UPPER(TRIM(A6))</f>
        <v>ORD-1003</v>
      </c>
      <c r="M6" s="12" t="str">
        <f aca="false">Data!C4&amp;" – "&amp;Data!D4</f>
        <v>Vivek Rao – South</v>
      </c>
    </row>
    <row r="7" customFormat="false" ht="15" hidden="false" customHeight="false" outlineLevel="0" collapsed="false">
      <c r="A7" s="5" t="s">
        <v>227</v>
      </c>
      <c r="B7" s="12" t="n">
        <f aca="false">LEN(A7)</f>
        <v>10</v>
      </c>
      <c r="C7" s="12" t="str">
        <f aca="false">TRIM(A7)</f>
        <v>Ord-1004</v>
      </c>
      <c r="D7" s="12" t="str">
        <f aca="false">UPPER(A7)</f>
        <v>  ORD-1004</v>
      </c>
      <c r="E7" s="12" t="str">
        <f aca="false">LOWER(A7)</f>
        <v>  ord-1004</v>
      </c>
      <c r="F7" s="12" t="str">
        <f aca="false">PROPER(A7)</f>
        <v>  Ord-1004</v>
      </c>
      <c r="G7" s="12" t="str">
        <f aca="false">LEFT(TRIM(A7),3)</f>
        <v>Ord</v>
      </c>
      <c r="H7" s="12" t="str">
        <f aca="false">RIGHT(TRIM(A7),4)</f>
        <v>1004</v>
      </c>
      <c r="I7" s="12" t="str">
        <f aca="false">MID(TRIM(A7),5,3)</f>
        <v>100</v>
      </c>
      <c r="J7" s="12" t="str">
        <f aca="false">SUBSTITUTE(TRIM(A7),"-","/")</f>
        <v>Ord/1004</v>
      </c>
      <c r="K7" s="12" t="n">
        <f aca="false">FIND("-",TRIM(A7))</f>
        <v>4</v>
      </c>
      <c r="L7" s="12" t="str">
        <f aca="false">UPPER(TRIM(A7))</f>
        <v>ORD-1004</v>
      </c>
      <c r="M7" s="12" t="str">
        <f aca="false">Data!C5&amp;" – "&amp;Data!D5</f>
        <v>Kabir Joshi – West</v>
      </c>
    </row>
    <row r="8" customFormat="false" ht="15" hidden="false" customHeight="false" outlineLevel="0" collapsed="false">
      <c r="A8" s="5" t="s">
        <v>228</v>
      </c>
      <c r="B8" s="12" t="n">
        <f aca="false">LEN(A8)</f>
        <v>8</v>
      </c>
      <c r="C8" s="12" t="str">
        <f aca="false">TRIM(A8)</f>
        <v>ord-1005</v>
      </c>
      <c r="D8" s="12" t="str">
        <f aca="false">UPPER(A8)</f>
        <v>ORD-1005</v>
      </c>
      <c r="E8" s="12" t="str">
        <f aca="false">LOWER(A8)</f>
        <v>ord-1005</v>
      </c>
      <c r="F8" s="12" t="str">
        <f aca="false">PROPER(A8)</f>
        <v>Ord-1005</v>
      </c>
      <c r="G8" s="12" t="str">
        <f aca="false">LEFT(TRIM(A8),3)</f>
        <v>ord</v>
      </c>
      <c r="H8" s="12" t="str">
        <f aca="false">RIGHT(TRIM(A8),4)</f>
        <v>1005</v>
      </c>
      <c r="I8" s="12" t="str">
        <f aca="false">MID(TRIM(A8),5,3)</f>
        <v>100</v>
      </c>
      <c r="J8" s="12" t="str">
        <f aca="false">SUBSTITUTE(TRIM(A8),"-","/")</f>
        <v>ord/1005</v>
      </c>
      <c r="K8" s="12" t="n">
        <f aca="false">FIND("-",TRIM(A8))</f>
        <v>4</v>
      </c>
      <c r="L8" s="12" t="str">
        <f aca="false">UPPER(TRIM(A8))</f>
        <v>ORD-1005</v>
      </c>
      <c r="M8" s="12" t="str">
        <f aca="false">Data!C6&amp;" – "&amp;Data!D6</f>
        <v>Neha Trivedi – East</v>
      </c>
    </row>
    <row r="10" customFormat="false" ht="15" hidden="false" customHeight="false" outlineLevel="0" collapsed="false">
      <c r="A10" s="6" t="s">
        <v>229</v>
      </c>
    </row>
    <row r="11" customFormat="false" ht="15" hidden="false" customHeight="false" outlineLevel="0" collapsed="false">
      <c r="A11" s="6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52"/>
    <col collapsed="false" customWidth="true" hidden="false" outlineLevel="0" max="7" min="7" style="0" width="24"/>
    <col collapsed="false" customWidth="true" hidden="false" outlineLevel="0" max="8" min="8" style="0" width="3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231</v>
      </c>
    </row>
    <row r="3" customFormat="false" ht="15" hidden="false" customHeight="false" outlineLevel="0" collapsed="false">
      <c r="A3" s="4" t="s">
        <v>232</v>
      </c>
      <c r="B3" s="4" t="s">
        <v>233</v>
      </c>
      <c r="C3" s="4" t="s">
        <v>234</v>
      </c>
      <c r="D3" s="4" t="s">
        <v>235</v>
      </c>
      <c r="E3" s="4" t="s">
        <v>236</v>
      </c>
      <c r="F3" s="4" t="s">
        <v>237</v>
      </c>
      <c r="G3" s="4" t="s">
        <v>238</v>
      </c>
      <c r="I3" s="2" t="s">
        <v>239</v>
      </c>
    </row>
    <row r="4" customFormat="false" ht="22.35" hidden="false" customHeight="false" outlineLevel="0" collapsed="false">
      <c r="A4" s="12" t="n">
        <v>1</v>
      </c>
      <c r="B4" s="19" t="s">
        <v>240</v>
      </c>
      <c r="C4" s="12" t="s">
        <v>241</v>
      </c>
      <c r="D4" s="20" t="s">
        <v>242</v>
      </c>
      <c r="E4" s="12" t="str">
        <f aca="false">IF(I4&gt;0,"Positive","Zero/Blank")</f>
        <v>Zero/Blank</v>
      </c>
      <c r="F4" s="20" t="s">
        <v>243</v>
      </c>
      <c r="G4" s="12" t="str">
        <f aca="false">IF(ISBLANK(I4),"Blank – skipped",IF(I4&gt;0,"Positive","Zero"))</f>
        <v>Blank – skipped</v>
      </c>
      <c r="J4" s="6" t="s">
        <v>244</v>
      </c>
    </row>
    <row r="5" customFormat="false" ht="15" hidden="false" customHeight="false" outlineLevel="0" collapsed="false">
      <c r="A5" s="12" t="n">
        <v>2</v>
      </c>
      <c r="B5" s="19" t="s">
        <v>245</v>
      </c>
      <c r="C5" s="12" t="s">
        <v>246</v>
      </c>
      <c r="D5" s="20" t="s">
        <v>247</v>
      </c>
      <c r="E5" s="12" t="n">
        <f aca="false">SUM(I5,I6)</f>
        <v>25</v>
      </c>
      <c r="F5" s="20" t="s">
        <v>248</v>
      </c>
      <c r="G5" s="12" t="n">
        <f aca="false">SUM(VALUE(I5),I6)</f>
        <v>50</v>
      </c>
      <c r="I5" s="21" t="s">
        <v>249</v>
      </c>
      <c r="J5" s="6" t="s">
        <v>250</v>
      </c>
    </row>
    <row r="6" customFormat="false" ht="15" hidden="false" customHeight="false" outlineLevel="0" collapsed="false">
      <c r="A6" s="12" t="n">
        <v>3</v>
      </c>
      <c r="B6" s="19" t="s">
        <v>251</v>
      </c>
      <c r="C6" s="12" t="s">
        <v>252</v>
      </c>
      <c r="D6" s="20" t="s">
        <v>253</v>
      </c>
      <c r="E6" s="22" t="b">
        <f aca="false">I5=I6</f>
        <v>0</v>
      </c>
      <c r="F6" s="20" t="s">
        <v>254</v>
      </c>
      <c r="G6" s="22" t="b">
        <f aca="false">VALUE(I5)=I6</f>
        <v>1</v>
      </c>
      <c r="I6" s="21" t="n">
        <v>25</v>
      </c>
      <c r="J6" s="6" t="s">
        <v>255</v>
      </c>
    </row>
    <row r="7" customFormat="false" ht="15" hidden="false" customHeight="false" outlineLevel="0" collapsed="false">
      <c r="A7" s="12" t="n">
        <v>4</v>
      </c>
      <c r="B7" s="19" t="s">
        <v>256</v>
      </c>
      <c r="C7" s="12" t="s">
        <v>257</v>
      </c>
      <c r="D7" s="20" t="s">
        <v>258</v>
      </c>
      <c r="E7" s="12" t="str">
        <f aca="false">IFERROR(VLOOKUP(I7,ProdTable,2,FALSE()),"Lookup error caught")</f>
        <v>Lookup error caught</v>
      </c>
      <c r="F7" s="20" t="s">
        <v>259</v>
      </c>
      <c r="G7" s="12" t="str">
        <f aca="false">VLOOKUP(TRIM(I7),ProdTable,2,FALSE())</f>
        <v>Mechanical Keyboard</v>
      </c>
      <c r="I7" s="21" t="s">
        <v>260</v>
      </c>
      <c r="J7" s="6" t="s">
        <v>261</v>
      </c>
    </row>
    <row r="8" customFormat="false" ht="22.35" hidden="false" customHeight="false" outlineLevel="0" collapsed="false">
      <c r="A8" s="12" t="n">
        <v>5</v>
      </c>
      <c r="B8" s="19" t="s">
        <v>262</v>
      </c>
      <c r="C8" s="12" t="s">
        <v>263</v>
      </c>
      <c r="D8" s="20" t="s">
        <v>264</v>
      </c>
      <c r="E8" s="12" t="str">
        <f aca="false">IFERROR(VLOOKUP("P999",ProdTable,2,FALSE()),"Lookup error caught")</f>
        <v>Lookup error caught</v>
      </c>
      <c r="F8" s="20" t="s">
        <v>265</v>
      </c>
      <c r="G8" s="12" t="str">
        <f aca="false">IFERROR(VLOOKUP("P999",ProdTable,2,FALSE()),"Not in product list")</f>
        <v>Not in product list</v>
      </c>
      <c r="I8" s="21" t="s">
        <v>47</v>
      </c>
      <c r="J8" s="6" t="s">
        <v>266</v>
      </c>
    </row>
    <row r="9" customFormat="false" ht="15" hidden="false" customHeight="false" outlineLevel="0" collapsed="false">
      <c r="A9" s="12" t="n">
        <v>6</v>
      </c>
      <c r="B9" s="19" t="s">
        <v>267</v>
      </c>
      <c r="C9" s="12" t="s">
        <v>268</v>
      </c>
      <c r="D9" s="20" t="s">
        <v>269</v>
      </c>
      <c r="E9" s="12" t="str">
        <f aca="false">IFERROR(0/0,"Divide error caught")</f>
        <v>Divide error caught</v>
      </c>
      <c r="F9" s="20" t="s">
        <v>270</v>
      </c>
      <c r="G9" s="12" t="n">
        <f aca="false">IFERROR(0/0,0)</f>
        <v>0</v>
      </c>
    </row>
    <row r="10" customFormat="false" ht="26.85" hidden="false" customHeight="false" outlineLevel="0" collapsed="false">
      <c r="A10" s="12" t="n">
        <v>7</v>
      </c>
      <c r="B10" s="19" t="s">
        <v>271</v>
      </c>
      <c r="C10" s="12" t="s">
        <v>272</v>
      </c>
      <c r="D10" s="20" t="s">
        <v>273</v>
      </c>
      <c r="E10" s="12" t="n">
        <f aca="false">COUNTA(I4:I8)</f>
        <v>4</v>
      </c>
      <c r="F10" s="20" t="s">
        <v>274</v>
      </c>
      <c r="G10" s="12" t="n">
        <f aca="false">COUNT(I4:I8)</f>
        <v>1</v>
      </c>
    </row>
    <row r="13" customFormat="false" ht="15" hidden="false" customHeight="false" outlineLevel="0" collapsed="false">
      <c r="A13" s="6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276</v>
      </c>
    </row>
    <row r="3" customFormat="false" ht="15" hidden="false" customHeight="false" outlineLevel="0" collapsed="false">
      <c r="A3" s="4" t="s">
        <v>277</v>
      </c>
      <c r="B3" s="4" t="s">
        <v>278</v>
      </c>
      <c r="C3" s="4" t="s">
        <v>279</v>
      </c>
    </row>
    <row r="4" customFormat="false" ht="26.85" hidden="false" customHeight="false" outlineLevel="0" collapsed="false">
      <c r="A4" s="23" t="s">
        <v>280</v>
      </c>
      <c r="B4" s="19" t="s">
        <v>281</v>
      </c>
      <c r="C4" s="19" t="s">
        <v>282</v>
      </c>
    </row>
    <row r="5" customFormat="false" ht="26.85" hidden="false" customHeight="false" outlineLevel="0" collapsed="false">
      <c r="A5" s="23" t="s">
        <v>283</v>
      </c>
      <c r="B5" s="19" t="s">
        <v>284</v>
      </c>
      <c r="C5" s="19" t="s">
        <v>285</v>
      </c>
    </row>
    <row r="6" customFormat="false" ht="26.85" hidden="false" customHeight="false" outlineLevel="0" collapsed="false">
      <c r="A6" s="23" t="s">
        <v>286</v>
      </c>
      <c r="B6" s="19" t="s">
        <v>287</v>
      </c>
      <c r="C6" s="19" t="s">
        <v>288</v>
      </c>
    </row>
    <row r="7" customFormat="false" ht="15" hidden="false" customHeight="false" outlineLevel="0" collapsed="false">
      <c r="A7" s="23" t="s">
        <v>289</v>
      </c>
      <c r="B7" s="19" t="s">
        <v>290</v>
      </c>
      <c r="C7" s="19" t="s">
        <v>291</v>
      </c>
    </row>
    <row r="8" customFormat="false" ht="15" hidden="false" customHeight="false" outlineLevel="0" collapsed="false">
      <c r="A8" s="23" t="s">
        <v>292</v>
      </c>
      <c r="B8" s="19" t="s">
        <v>293</v>
      </c>
      <c r="C8" s="19" t="s">
        <v>294</v>
      </c>
    </row>
    <row r="9" customFormat="false" ht="15" hidden="false" customHeight="false" outlineLevel="0" collapsed="false">
      <c r="A9" s="23" t="s">
        <v>295</v>
      </c>
      <c r="B9" s="19" t="s">
        <v>296</v>
      </c>
      <c r="C9" s="19" t="s">
        <v>297</v>
      </c>
    </row>
    <row r="10" customFormat="false" ht="15" hidden="false" customHeight="false" outlineLevel="0" collapsed="false">
      <c r="A10" s="23" t="s">
        <v>298</v>
      </c>
      <c r="B10" s="19" t="s">
        <v>299</v>
      </c>
      <c r="C10" s="19" t="s">
        <v>300</v>
      </c>
    </row>
    <row r="11" customFormat="false" ht="15" hidden="false" customHeight="false" outlineLevel="0" collapsed="false">
      <c r="A11" s="23" t="s">
        <v>301</v>
      </c>
      <c r="B11" s="19" t="s">
        <v>302</v>
      </c>
      <c r="C11" s="19" t="s">
        <v>303</v>
      </c>
    </row>
    <row r="12" customFormat="false" ht="26.85" hidden="false" customHeight="false" outlineLevel="0" collapsed="false">
      <c r="A12" s="23" t="s">
        <v>304</v>
      </c>
      <c r="B12" s="19" t="s">
        <v>305</v>
      </c>
      <c r="C12" s="19" t="s">
        <v>306</v>
      </c>
    </row>
    <row r="13" customFormat="false" ht="15" hidden="false" customHeight="false" outlineLevel="0" collapsed="false">
      <c r="A13" s="23" t="s">
        <v>307</v>
      </c>
      <c r="B13" s="19" t="s">
        <v>308</v>
      </c>
      <c r="C13" s="19" t="s">
        <v>309</v>
      </c>
    </row>
    <row r="14" customFormat="false" ht="26.85" hidden="false" customHeight="false" outlineLevel="0" collapsed="false">
      <c r="A14" s="23" t="s">
        <v>310</v>
      </c>
      <c r="B14" s="19" t="s">
        <v>311</v>
      </c>
      <c r="C14" s="19" t="s">
        <v>312</v>
      </c>
    </row>
    <row r="15" customFormat="false" ht="15" hidden="false" customHeight="false" outlineLevel="0" collapsed="false">
      <c r="A15" s="23" t="s">
        <v>313</v>
      </c>
      <c r="B15" s="19" t="s">
        <v>314</v>
      </c>
      <c r="C15" s="19" t="s">
        <v>315</v>
      </c>
    </row>
    <row r="16" customFormat="false" ht="15" hidden="false" customHeight="false" outlineLevel="0" collapsed="false">
      <c r="A16" s="23" t="s">
        <v>316</v>
      </c>
      <c r="B16" s="19" t="s">
        <v>317</v>
      </c>
      <c r="C16" s="19" t="s">
        <v>318</v>
      </c>
    </row>
    <row r="19" customFormat="false" ht="17.35" hidden="false" customHeight="false" outlineLevel="0" collapsed="false">
      <c r="A19" s="1" t="s">
        <v>319</v>
      </c>
    </row>
    <row r="20" customFormat="false" ht="75" hidden="false" customHeight="true" outlineLevel="0" collapsed="false">
      <c r="A20" s="24" t="s">
        <v>320</v>
      </c>
      <c r="B20" s="25" t="s">
        <v>321</v>
      </c>
      <c r="C20" s="25"/>
    </row>
    <row r="21" customFormat="false" ht="75" hidden="false" customHeight="true" outlineLevel="0" collapsed="false">
      <c r="A21" s="24" t="s">
        <v>322</v>
      </c>
      <c r="B21" s="25" t="s">
        <v>323</v>
      </c>
      <c r="C21" s="25"/>
    </row>
    <row r="22" customFormat="false" ht="75" hidden="false" customHeight="true" outlineLevel="0" collapsed="false">
      <c r="A22" s="24" t="s">
        <v>324</v>
      </c>
      <c r="B22" s="25" t="s">
        <v>325</v>
      </c>
      <c r="C22" s="25"/>
    </row>
  </sheetData>
  <mergeCells count="3">
    <mergeCell ref="B20:C20"/>
    <mergeCell ref="B21:C21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2026-10-15T13:56:34Z</dcterms:created>
  <dc:creator>openpyxl</dc:creator>
  <dc:description/>
  <dc:language>en-US</dc:language>
  <cp:lastModifiedBy/>
  <dcterms:modified xsi:type="dcterms:W3CDTF">2026-10-15T13:56:34Z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